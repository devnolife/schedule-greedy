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
    </mc:Choice>
  </mc:AlternateContent>
  <xr:revisionPtr revIDLastSave="0" documentId="13_ncr:1_{1D26402A-3679-4594-AAEB-3B63CA8B0EB4}" xr6:coauthVersionLast="47" xr6:coauthVersionMax="47" xr10:uidLastSave="{00000000-0000-0000-0000-000000000000}"/>
  <bookViews>
    <workbookView xWindow="-120" yWindow="-120" windowWidth="29040" windowHeight="15840" activeTab="8" xr2:uid="{00000000-000D-0000-FFFF-FFFF00000000}"/>
  </bookViews>
  <sheets>
    <sheet name="PL" sheetId="1" r:id="rId1"/>
    <sheet name="CPL" sheetId="2" r:id="rId2"/>
    <sheet name="CPMK" sheetId="4" r:id="rId3"/>
    <sheet name="Sheet6" sheetId="6" r:id="rId4"/>
    <sheet name="Mata Kuliah" sheetId="3" r:id="rId5"/>
    <sheet name="Struktur MK" sheetId="7" r:id="rId6"/>
    <sheet name="Dosen" sheetId="9" r:id="rId7"/>
    <sheet name="Jadwal Reguler" sheetId="10" r:id="rId8"/>
    <sheet name="Jadwal Non Reg" sheetId="11" r:id="rId9"/>
  </sheets>
  <definedNames>
    <definedName name="_xlnm.Print_Area" localSheetId="5">'Struktur MK'!$B$2:$Y$44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9" l="1"/>
  <c r="Q5" i="9"/>
  <c r="Q6" i="9"/>
  <c r="Q7" i="9"/>
  <c r="Q8" i="9"/>
  <c r="Q9" i="9"/>
  <c r="Q10" i="9"/>
  <c r="Q11" i="9"/>
  <c r="Q12" i="9"/>
  <c r="Q13" i="9"/>
  <c r="Q14" i="9"/>
  <c r="Q15" i="9"/>
  <c r="Q16" i="9"/>
  <c r="Q17" i="9"/>
  <c r="Q18" i="9"/>
  <c r="Q19" i="9"/>
  <c r="Q20" i="9"/>
  <c r="Q21" i="9"/>
  <c r="Q22" i="9"/>
  <c r="Q23" i="9"/>
  <c r="Q24" i="9"/>
  <c r="Q25" i="9"/>
  <c r="Q26" i="9"/>
  <c r="Q27" i="9"/>
  <c r="Q28" i="9"/>
  <c r="Q3" i="9"/>
  <c r="I43" i="7" l="1"/>
  <c r="L32" i="7"/>
  <c r="L31" i="7"/>
  <c r="O32" i="7"/>
  <c r="R32" i="7"/>
  <c r="O31" i="7"/>
  <c r="R31" i="7"/>
  <c r="C31" i="7"/>
  <c r="I32" i="7"/>
  <c r="I31" i="7"/>
  <c r="F31" i="7"/>
  <c r="G70" i="3"/>
  <c r="F70" i="3"/>
  <c r="B43" i="7"/>
  <c r="H38" i="7" s="1"/>
  <c r="H42" i="7"/>
  <c r="L38" i="7"/>
  <c r="C32" i="7"/>
  <c r="Z43" i="7" s="1"/>
  <c r="F32" i="7"/>
  <c r="U32" i="7"/>
  <c r="H34" i="7"/>
  <c r="H36" i="7"/>
  <c r="H40" i="7"/>
  <c r="X31" i="7"/>
  <c r="U31" i="7"/>
  <c r="L34" i="7" l="1"/>
  <c r="L36" i="7"/>
</calcChain>
</file>

<file path=xl/sharedStrings.xml><?xml version="1.0" encoding="utf-8"?>
<sst xmlns="http://schemas.openxmlformats.org/spreadsheetml/2006/main" count="2081" uniqueCount="1443">
  <si>
    <t>PL</t>
  </si>
  <si>
    <t>Mampu merancang, menganalisis, dan mengevaluasi sistem dan infrastruktur pengairan serta manajemen sumber daya air yang berkelanjutan berbasis teknologi mutakhir.</t>
  </si>
  <si>
    <t>Memiliki pengetahuan dan keterampilan dalam perencanaan, desain, dan pengoperasian infrastruktur sumber daya air</t>
  </si>
  <si>
    <t>Mampu menerapkan prinsip etika profesi dan nilai-nilai keislaman dalam setiap aspek pekerjaan serta menjunjung tinggi moralitas, tanggung jawab sosial, dan integritas sebagai wujud komitmen terhadap pembangunan yang adil dan berkelanjutan.</t>
  </si>
  <si>
    <t>Memiliki jiwa kewirausahaan dalam bidang pengairan serta mampu menjadi konsultan yang kompeten, mandiri, dan terpercaya, dengan daya saing tinggi di tingkat nasional maupun internasional serta adaptif terhadap perubahan global dan kebutuhan masyarakat.</t>
  </si>
  <si>
    <t>PL1</t>
  </si>
  <si>
    <t>PL2</t>
  </si>
  <si>
    <t>PL3</t>
  </si>
  <si>
    <t>PL4</t>
  </si>
  <si>
    <t>Mampu menerapkan pengetahuan matematika, ilmu alam, dan teknologi informasi untuk memahami prinsip-prinsip dasar teknik sumber daya air.</t>
  </si>
  <si>
    <t xml:space="preserve">Mampu merancang sistem jaringan bangunan air dengan mempertimbangkan aspek hukum, ekonomi, lingkungan, sosial, politik, kesehatan dan k eselamatan, serta keberlanjutan, serta mengenali dan/atau memanfaatkan potensi sumber daya lokal dan nasional dengan perspektif global </t>
  </si>
  <si>
    <t>Mampu merancang dan melakukan eksperimen laboratorium maupun pengamatan lapangan serta mampu menganalisis dan menginterpretasikan data untuk mendukung penilaian teknik sumber daya air.</t>
  </si>
  <si>
    <t>Mampu mengidentifikasi, merumuskan, menganalisis, dan memecahkan permasalahan kompleks di bidang teknik sumber daya air.</t>
  </si>
  <si>
    <t>Mampu menerapkan metode, keterampilan, dan alat rekayasa modern dalam praktik teknik sumber daya air.</t>
  </si>
  <si>
    <t>Mampu berkomunikasi secara efektif baik secara lisan dan tertulis dalam menyampaikan ide maupun hasil analisis.</t>
  </si>
  <si>
    <t>Mampu merencanakan, melaksanakan, dan mengevaluasi tugas Teknik sumber daya air sesuai dengan batasan yang tersedia.</t>
  </si>
  <si>
    <t>Mampu bekerja dalam tim multidisiplin dan multikultural</t>
  </si>
  <si>
    <t xml:space="preserve">Mampu bertanggung jawab secara profesional dan mematuhi etika profesional terhadap masyarakat dalam merancang dan mengelola infrastruktur Teknik sumber daya air yang aman </t>
  </si>
  <si>
    <t>Mampu menyadari pentingnya pembelajaran sepanjang hayat dengan menerapkan Al Islam Kemuhammadiyahan dan terus mengakses pengetahuan terbaru dan isu yang sejalan dengan perkembangan zaman di bidang sumber daya air.</t>
  </si>
  <si>
    <t>CPL</t>
  </si>
  <si>
    <t>CPL1</t>
  </si>
  <si>
    <t>CPL2</t>
  </si>
  <si>
    <t>CPL3</t>
  </si>
  <si>
    <t>CPL4</t>
  </si>
  <si>
    <t>CPL5</t>
  </si>
  <si>
    <t>CPL6</t>
  </si>
  <si>
    <t>CPL7</t>
  </si>
  <si>
    <t>CPL8</t>
  </si>
  <si>
    <t>CPL9</t>
  </si>
  <si>
    <t>CPL10</t>
  </si>
  <si>
    <t>No.</t>
  </si>
  <si>
    <t>Mata Kuliah</t>
  </si>
  <si>
    <t>SKS</t>
  </si>
  <si>
    <t>Basic Science</t>
  </si>
  <si>
    <t xml:space="preserve"> Pendidikan Agama Islam </t>
  </si>
  <si>
    <t xml:space="preserve"> Bahasa Indonesia </t>
  </si>
  <si>
    <t xml:space="preserve"> Bahasa Inggris Teknik </t>
  </si>
  <si>
    <t xml:space="preserve"> Pendidikan Pancasila </t>
  </si>
  <si>
    <t xml:space="preserve"> Pendidikan Kewarganegaraan </t>
  </si>
  <si>
    <t xml:space="preserve"> Bahasa Inggris </t>
  </si>
  <si>
    <t xml:space="preserve"> AIK II (Peng. Studi Islam &amp; Kemuh. 2) </t>
  </si>
  <si>
    <t xml:space="preserve"> AIK III (Aqidah Islam &amp; Kemuh. 3) </t>
  </si>
  <si>
    <t xml:space="preserve"> AIK IV (Ibadah Khashashah &amp; Kemuh. 4) </t>
  </si>
  <si>
    <t xml:space="preserve"> AIK V (Akhlaq Al Kariemah &amp; Kemuh. 5) </t>
  </si>
  <si>
    <t xml:space="preserve"> AIK VI (Ilmu Falaq 1 &amp; Kemuh. 6) </t>
  </si>
  <si>
    <t xml:space="preserve"> Konfren AIK </t>
  </si>
  <si>
    <t xml:space="preserve"> KKP-Plus </t>
  </si>
  <si>
    <t xml:space="preserve"> Usulan dan Seminar Skripsi </t>
  </si>
  <si>
    <t xml:space="preserve"> Skripsi </t>
  </si>
  <si>
    <t>Matematika I</t>
  </si>
  <si>
    <t>Fisika 1</t>
  </si>
  <si>
    <t xml:space="preserve"> Statistika dan Dasar-Dasar Probabilitas </t>
  </si>
  <si>
    <t>Aplikasi Kumputer 1</t>
  </si>
  <si>
    <t>Fisika 2</t>
  </si>
  <si>
    <t>Matematika II</t>
  </si>
  <si>
    <t>Kimia</t>
  </si>
  <si>
    <t>Hidrologi I</t>
  </si>
  <si>
    <t xml:space="preserve">Matematika III </t>
  </si>
  <si>
    <t xml:space="preserve">Geologi </t>
  </si>
  <si>
    <t>Matematika IV</t>
  </si>
  <si>
    <t>Hidrolika Dasar</t>
  </si>
  <si>
    <t xml:space="preserve">Ilmu Ukur Tanah dan Pemetaan </t>
  </si>
  <si>
    <t xml:space="preserve">Mekanika Teknik I </t>
  </si>
  <si>
    <t xml:space="preserve">Jaringan irigasi </t>
  </si>
  <si>
    <t>Hidrologi 2</t>
  </si>
  <si>
    <t>Mekanika Teknik II</t>
  </si>
  <si>
    <t xml:space="preserve">Mekanika Tanah II </t>
  </si>
  <si>
    <t xml:space="preserve">Pengolahan Kualitas dan Jaringan Perpipaan </t>
  </si>
  <si>
    <t>Hidrolika Terapan</t>
  </si>
  <si>
    <t xml:space="preserve">Konstruksi beton 1 </t>
  </si>
  <si>
    <t xml:space="preserve">Perencanaan dan Pengelolaan Waduk </t>
  </si>
  <si>
    <t xml:space="preserve">Perencanaan Drainase Kota </t>
  </si>
  <si>
    <t xml:space="preserve">Konstruksi Bendungan 1 </t>
  </si>
  <si>
    <t xml:space="preserve">Pengembangan Sumber Daya Air </t>
  </si>
  <si>
    <t xml:space="preserve">Teknik Pantai </t>
  </si>
  <si>
    <t xml:space="preserve">Konstruksi Beton II </t>
  </si>
  <si>
    <t xml:space="preserve">Manajemen Air </t>
  </si>
  <si>
    <t xml:space="preserve">Teknik Sungai II </t>
  </si>
  <si>
    <t xml:space="preserve">Konstruksi Bendungan II </t>
  </si>
  <si>
    <t xml:space="preserve">Pengelolaan Air Tanah (Ground Water) </t>
  </si>
  <si>
    <t xml:space="preserve">Ekonomi Teknik </t>
  </si>
  <si>
    <t xml:space="preserve">Transpor Sedimen </t>
  </si>
  <si>
    <t xml:space="preserve">Aplikasi Komputer 2 </t>
  </si>
  <si>
    <t xml:space="preserve">Teknik Pondasi  </t>
  </si>
  <si>
    <t xml:space="preserve">Manajemen Konstruksi </t>
  </si>
  <si>
    <t xml:space="preserve">Metode Penelitian </t>
  </si>
  <si>
    <t xml:space="preserve">Standarisasi Keselamatan Kerja </t>
  </si>
  <si>
    <t xml:space="preserve">Perencanaan Pembangkit Listrik Tenag Air (PLTA) </t>
  </si>
  <si>
    <t xml:space="preserve">Reklmasi dan Bangunan Pantai </t>
  </si>
  <si>
    <t xml:space="preserve">Teknik Lingkungan dan Pengenalan Amdal </t>
  </si>
  <si>
    <t xml:space="preserve">Ilmu Tanah dan Tanaman </t>
  </si>
  <si>
    <t xml:space="preserve">Pemindahan Tanah Mekanis </t>
  </si>
  <si>
    <t xml:space="preserve">Kepemimpinan dan Kewirausahaan </t>
  </si>
  <si>
    <t xml:space="preserve">Etika Profesi </t>
  </si>
  <si>
    <t xml:space="preserve">Menggambar Teknik </t>
  </si>
  <si>
    <t>Bangunan Irigasi II</t>
  </si>
  <si>
    <t xml:space="preserve">Konstruksi Baja </t>
  </si>
  <si>
    <t xml:space="preserve">Teknik Jalan Raya </t>
  </si>
  <si>
    <t xml:space="preserve">Teknik Sungai I </t>
  </si>
  <si>
    <t>Jumlah SKS</t>
  </si>
  <si>
    <t xml:space="preserve">Capstone Desain </t>
  </si>
  <si>
    <t>CPMK1</t>
  </si>
  <si>
    <t>CPMK2</t>
  </si>
  <si>
    <t>CPMK3</t>
  </si>
  <si>
    <t>CPMK4</t>
  </si>
  <si>
    <t>CPMK5</t>
  </si>
  <si>
    <t>Menjelaskan siklus hidrologi dan komponennya</t>
  </si>
  <si>
    <t>Menghitung hujan rata-rata dengan metode statistik dan areal</t>
  </si>
  <si>
    <t>Menganalisis data hidrologi untuk menghitung debit banjir</t>
  </si>
  <si>
    <t>Menyusun laporan teknis analisis hidrologi</t>
  </si>
  <si>
    <t>Menjelaskan peran data hidrologi dalam desain bangunan air</t>
  </si>
  <si>
    <t>Sub-CPMK</t>
  </si>
  <si>
    <t>CPMK</t>
  </si>
  <si>
    <t>Menjelaskan sifat dan tekanan fluida dalam kondisi statis.</t>
  </si>
  <si>
    <t>Menerapkan hukum kontinuitas dan energi dalam aliran fluida ideal.</t>
  </si>
  <si>
    <t>Menganalisis kehilangan energi dalam aliran fluida nyata.</t>
  </si>
  <si>
    <t>Menghitung debit aliran pada saluran terbuka dan pipa bertekanan.</t>
  </si>
  <si>
    <t>Menyusun laporan teknis analisis hidrolika dasar.</t>
  </si>
  <si>
    <t>Menjelaskan prinsip dasar pengukuran dan pemetaan topografi.</t>
  </si>
  <si>
    <t>Melakukan pengukuran jarak, sudut, dan elevasi menggunakan alat ukur manual dan digital.</t>
  </si>
  <si>
    <t>Menggambar peta topografi dari data hasil pengukuran.</t>
  </si>
  <si>
    <t>Mengolah data pengukuran dengan perangkat lunak sederhana.</t>
  </si>
  <si>
    <t>Menyusun laporan hasil pengukuran dan pemetaan topografi.</t>
  </si>
  <si>
    <t>Menganalisis data hidrologi untuk perhitungan banjir rancangan.</t>
  </si>
  <si>
    <t>Menggunakan analisis frekuensi statistik pada data hujan dan debit.</t>
  </si>
  <si>
    <t>Membangun model hidrograf satuan dari data hujan dan debit.</t>
  </si>
  <si>
    <t>Mengaplikasikan perangkat lunak hidrologi dalam analisis curah hujan dan debit.</t>
  </si>
  <si>
    <t>Mengevaluasi hasil analisis hidrologi untuk pengambilan keputusan teknis.</t>
  </si>
  <si>
    <t>Menjelaskan konsep gaya, momen, dan hukum kesetimbangan.</t>
  </si>
  <si>
    <t>Menghitung reaksi perletakan pada balok statis tertentu.</t>
  </si>
  <si>
    <t>Membuat diagram gaya geser dan momen lentur.</t>
  </si>
  <si>
    <t>Menganalisis struktur rangka batang menggunakan metode titik simpul dan metode persamaan.</t>
  </si>
  <si>
    <t>Menyusun laporan teknis analisis gaya struktur sederhana.</t>
  </si>
  <si>
    <t>Menjelaskan klasifikasi dan fungsi jaringan irigasi.</t>
  </si>
  <si>
    <t>Menghitung kebutuhan air irigasi berdasarkan data klimatologi dan tanaman.</t>
  </si>
  <si>
    <t>Menganalisis kapasitas saluran irigasi dan debit desain.</t>
  </si>
  <si>
    <t>Merancang sistem jaringan irigasi dari intake hingga saluran tersier.</t>
  </si>
  <si>
    <t>Menyusun laporan teknis dan presentasi desain jaringan irigasi.</t>
  </si>
  <si>
    <t>Menganalisis struktur statis tak tentu menggunakan metode analitik.</t>
  </si>
  <si>
    <t>Menghitung lendutan pada struktur menggunakan metode energi dan integrasi.</t>
  </si>
  <si>
    <t>Menggunakan prinsip superposisi dan analisis numerik pada struktur kompleks.</t>
  </si>
  <si>
    <t>Menerapkan metode matriks atau perangkat lunak struktur sederhana.</t>
  </si>
  <si>
    <t>Menyusun laporan dan interpretasi hasil analisis struktur teknik sipil.</t>
  </si>
  <si>
    <t>Menjelaskan parameter kualitas air dan standar baku mutu.</t>
  </si>
  <si>
    <t>Menganalisis proses dasar pengolahan air bersih.</t>
  </si>
  <si>
    <t>Merancang sistem jaringan perpipaan untuk distribusi air.</t>
  </si>
  <si>
    <t>Menerapkan prinsip hidrolika dalam sistem perpipaan bertekanan.</t>
  </si>
  <si>
    <t>Menyusun laporan dan presentasi sistem pengolahan dan jaringan distribusi.</t>
  </si>
  <si>
    <t>Menganalisis aliran seragam dan aliran kritis di saluran terbuka.</t>
  </si>
  <si>
    <t>Menganalisis aliran tidak seragam menggunakan metode numerik.</t>
  </si>
  <si>
    <t>Menerapkan analisis aliran pada struktur pengatur (bendung, pintu air).</t>
  </si>
  <si>
    <t>Menggunakan perangkat lunak untuk simulasi aliran saluran terbuka.</t>
  </si>
  <si>
    <t>Menyusun laporan analisis hidrolika terapan berbasis proyek.</t>
  </si>
  <si>
    <t>Menjelaskan sifat mekanik beton dan baja tulangan.</t>
  </si>
  <si>
    <t>Menerapkan konsep tegangan-leleh dan beban izin dalam beton bertulang.</t>
  </si>
  <si>
    <t>Menganalisis kekuatan lentur dan geser pada balok beton bertulang.</t>
  </si>
  <si>
    <t>Merancang balok beton satu bentang dengan beban merata.</t>
  </si>
  <si>
    <t>Menyusun laporan desain dan perhitungan struktur beton sederhana.</t>
  </si>
  <si>
    <t>Menjelaskan fungsi dan klasifikasi waduk berdasarkan tujuan dan skala.</t>
  </si>
  <si>
    <t>Menghitung kapasitas tampungan dan volume efektif waduk.</t>
  </si>
  <si>
    <t>Menganalisis kebutuhan air tahunan dan fluktuasi debit masuk.</t>
  </si>
  <si>
    <t>Merancang kurva operasi waduk untuk kebutuhan multipurpose.</t>
  </si>
  <si>
    <t>Mengevaluasi pengelolaan sedimentasi dan dampak lingkungan waduk.</t>
  </si>
  <si>
    <t>Menjelaskan konsep dan komponen sistem drainase perkotaan.</t>
  </si>
  <si>
    <t>Menghitung debit limpasan permukaan menggunakan metode rasional dan hidrograf satuan.</t>
  </si>
  <si>
    <t>Menganalisis kapasitas saluran dan kebutuhan struktur pengendali.</t>
  </si>
  <si>
    <t>Merancang sistem drainase perkotaan berbasis peta tata guna lahan.</t>
  </si>
  <si>
    <t>Menyusun laporan dan presentasi desain drainase kota yang berkelanjutan.</t>
  </si>
  <si>
    <t>Menjelaskan prinsip dasar pengembangan sumber daya air terpadu.</t>
  </si>
  <si>
    <t>Menganalisis potensi dan kebutuhan air pada suatu wilayah DAS.</t>
  </si>
  <si>
    <t>Menerapkan konsep konservasi, pengendalian, dan pemanfaatan SDA.</t>
  </si>
  <si>
    <t>Merancang kerangka pengembangan SDA untuk multi sektor dan multipurpose.</t>
  </si>
  <si>
    <t>Menyusun laporan pengembangan dan kebijakan pengelolaan SDA.</t>
  </si>
  <si>
    <t>Menjelaskan proses fisik di wilayah pantai (gelombang, arus, sedimentasi).</t>
  </si>
  <si>
    <t>Menganalisis transport sedimen dan perubahan garis pantai.</t>
  </si>
  <si>
    <t>Menerapkan konsep desain struktur pantai seperti groin, breakwater, dan revetment.</t>
  </si>
  <si>
    <t>Merancang sistem perlindungan pantai untuk kasus tertentu.</t>
  </si>
  <si>
    <t>Menyusun laporan teknis dan evaluasi dampak lingkungan dari intervensi pantai.</t>
  </si>
  <si>
    <t>Menjelaskan prinsip kerja struktur beton bertulang untuk elemen kolom, pelat, dan tangga.</t>
  </si>
  <si>
    <t>Menganalisis kapasitas struktur kolom, pelat dua arah, dan tangga beton bertulang.</t>
  </si>
  <si>
    <t>Menerapkan konsep detailing penulangan pada struktur bertingkat.</t>
  </si>
  <si>
    <t>Merancang sistem struktur beton bertulang untuk bangunan sederhana tahan gempa.</t>
  </si>
  <si>
    <t>Menyusun laporan desain dan presentasi struktur beton kompleks.</t>
  </si>
  <si>
    <t>Menjelaskan konsep dasar manajemen air terpadu (IWRM).</t>
  </si>
  <si>
    <t>Menganalisis tantangan dan strategi pengelolaan air di berbagai sektor.</t>
  </si>
  <si>
    <t>Menerapkan konsep konservasi dan efisiensi penggunaan air.</t>
  </si>
  <si>
    <t>Merancang sistem manajemen air berbasis DAS dan keterlibatan pemangku kepentingan.</t>
  </si>
  <si>
    <t>Menyusun laporan dan mempresentasikan kebijakan dan strategi manajemen air.</t>
  </si>
  <si>
    <t>Menjelaskan strategi pengelolaan sungai terpadu dan restorasi sungai.</t>
  </si>
  <si>
    <t>Menganalisis data topografi dan aliran untuk pemodelan sungai.</t>
  </si>
  <si>
    <t>Menerapkan konsep stabilisasi tebing dan alur sungai dengan struktur pelindung.</t>
  </si>
  <si>
    <t>Merancang sistem pengendalian banjir berbasis data dan permodelan.</t>
  </si>
  <si>
    <t>Menyusun laporan teknis dan presentasi solusi pengelolaan sungai.</t>
  </si>
  <si>
    <t>Menjelaskan konsep dasar hidrogeologi dan sistem akuifer.</t>
  </si>
  <si>
    <t>Menganalisis parameter hidraulik dan keseimbangan air tanah.</t>
  </si>
  <si>
    <t>Menerapkan metode pemetaan dan pemodelan aliran air tanah.</t>
  </si>
  <si>
    <t>Merancang strategi pengelolaan air tanah secara berkelanjutan.</t>
  </si>
  <si>
    <t>Menyusun laporan teknis dan rekomendasi tata kelola air tanah.</t>
  </si>
  <si>
    <t>Menjelaskan prinsip dasar nilai waktu uang dan aplikasinya dalam proyek teknik.</t>
  </si>
  <si>
    <t>Menganalisis kelayakan finansial suatu proyek dengan berbagai metode evaluasi.</t>
  </si>
  <si>
    <t>Menerapkan konsep depresiasi dan pengaruh inflasi dalam analisis ekonomi proyek.</t>
  </si>
  <si>
    <t>Merancang studi kelayakan sederhana untuk proyek sumber daya air.</t>
  </si>
  <si>
    <t>Menyajikan hasil analisis ekonomi dalam bentuk presentasi yang sistematis.</t>
  </si>
  <si>
    <t>Menjelaskan tipe-tipe bendungan berdasarkan material dan fungsi.</t>
  </si>
  <si>
    <t>Menganalisis tahapan konstruksi bendungan tipe urugan.</t>
  </si>
  <si>
    <t>Menerapkan spesifikasi teknis dan peraturan dalam konstruksi bendungan.</t>
  </si>
  <si>
    <t>Merancang urutan pekerjaan konstruksi berdasarkan data teknis.</t>
  </si>
  <si>
    <t>Menjelaskan aspek keselamatan konstruksi pada pembangunan bendungan.</t>
  </si>
  <si>
    <t>Menganalisis sistem instrumentasi dan pemantauan bendungan.</t>
  </si>
  <si>
    <t>Menerapkan metode evaluasi stabilitas bendungan pasca konstruksi.</t>
  </si>
  <si>
    <t>Merancang sistem pemantauan keamanan bendungan berdasarkan data teknis.</t>
  </si>
  <si>
    <t>Mengevaluasi fungsi dan pemeliharaan peralatan bendungan.</t>
  </si>
  <si>
    <t>Menilai risiko kegagalan dan menyusun rencana mitigasi struktural.</t>
  </si>
  <si>
    <t>Menjelaskan konsep dasar transpor sedimen dan klasifikasi jenis sedimen.</t>
  </si>
  <si>
    <t>Menganalisis proses pengangkutan sedimen dan laju sedimentasi.</t>
  </si>
  <si>
    <t>Menerapkan hasil analisis sedimen dalam perencanaan pengendalian sedimentasi.</t>
  </si>
  <si>
    <t>Melakukan simulasi atau eksperimen sederhana terkait transpor sedimen.</t>
  </si>
  <si>
    <t>Menyusun laporan hasil analisis dan desain pengelolaan sedimen.</t>
  </si>
  <si>
    <t>Menggunakan Microsoft Excel untuk pengolahan dan analisis data hidrologi.</t>
  </si>
  <si>
    <t>Mengoperasikan AutoCAD untuk menggambar rancangan teknik sederhana.</t>
  </si>
  <si>
    <t>Menerapkan QGIS untuk pengolahan data spasial dan pemetaan.</t>
  </si>
  <si>
    <t>Menggunakan HEC-RAS untuk simulasi aliran sungai satu dimensi.</t>
  </si>
  <si>
    <t>Menyusun laporan aplikasi perangkat lunak dan interpretasi hasil analisis.</t>
  </si>
  <si>
    <t>Menjelaskan jenis dan fungsi pondasi pada bangunan air.</t>
  </si>
  <si>
    <t>Menganalisis daya dukung pondasi dangkal dan dalam.</t>
  </si>
  <si>
    <t>Merancang sistem pondasi berdasarkan kondisi geoteknik.</t>
  </si>
  <si>
    <t>Mengidentifikasi potensi keruntuhan pondasi dari studi kasus.</t>
  </si>
  <si>
    <t>Menyusun laporan teknis evaluasi dan perencanaan pondasi.</t>
  </si>
  <si>
    <t>Menjelaskan prinsip dan ruang lingkup manajemen proyek konstruksi.</t>
  </si>
  <si>
    <t>Menyusun jadwal proyek menggunakan metode CPM/PERT.</t>
  </si>
  <si>
    <t>Menghitung estimasi biaya proyek dan mengatur anggaran konstruksi.</t>
  </si>
  <si>
    <t>Mengidentifikasi risiko dan strategi pengendalian proyek.</t>
  </si>
  <si>
    <t>Menyusun laporan dan mempresentasikan hasil perencanaan proyek.</t>
  </si>
  <si>
    <t>Menjelaskan konsep dasar dan jenis-jenis pendekatan penelitian.</t>
  </si>
  <si>
    <t>Merumuskan masalah dan tujuan penelitian yang relevan dengan teknik sumber daya air.</t>
  </si>
  <si>
    <t>Melakukan kajian literatur dan menyusun landasan teori.</t>
  </si>
  <si>
    <t>Merancang metode penelitian dan teknik pengumpulan data.</t>
  </si>
  <si>
    <t>Menyajikan dan mempertahankan proposal penelitian secara lisan.</t>
  </si>
  <si>
    <t>Menjelaskan konsep dasar keselamatan dan kesehatan kerja (K3) di proyek konstruksi.</t>
  </si>
  <si>
    <t>Menganalisis standar dan regulasi K3 nasional dan internasional.</t>
  </si>
  <si>
    <t>Merancang sistem manajemen K3 untuk proyek konstruksi.</t>
  </si>
  <si>
    <t>Mengevaluasi penerapan K3 di lapangan melalui studi kasus.</t>
  </si>
  <si>
    <t>Menyusun dan mempresentasikan laporan K3 proyek konstruksi.</t>
  </si>
  <si>
    <t>Menjelaskan konsep dasar dan klasifikasi pembangkit listrik tenaga air.</t>
  </si>
  <si>
    <t>Menganalisis potensi energi air berdasarkan data hidrologi dan topografi.</t>
  </si>
  <si>
    <t>Merancang sistem PLTA sederhana sesuai kondisi teknis dan lingkungan.</t>
  </si>
  <si>
    <t>Melakukan studi kelayakan teknis dan ekonomi sederhana.</t>
  </si>
  <si>
    <t>Menyusun laporan proyek PLTA dan mempresentasikan rencana kepada publik.</t>
  </si>
  <si>
    <t>Menjelaskan karakteristik proses pantai dan pengaruh gelombang laut terhadap garis pantai.</t>
  </si>
  <si>
    <t>Mengidentifikasi dan menjelaskan jenis bangunan pelindung pantai.</t>
  </si>
  <si>
    <t>Merancang bangunan pantai berdasarkan kondisi gelombang dan garis pantai.</t>
  </si>
  <si>
    <t>Menganalisis proyek reklamasi dan dampaknya terhadap lingkungan pesisir.</t>
  </si>
  <si>
    <t>Menyusun laporan teknis dan mempresentasikan desain bangunan pantai.</t>
  </si>
  <si>
    <t>Menjelaskan prinsip dasar teknik lingkungan dan konsep pembangunan berkelanjutan.</t>
  </si>
  <si>
    <t>Menganalisis jenis dan sumber pencemaran air, udara, dan tanah.</t>
  </si>
  <si>
    <t>Mengenali prosedur dan komponen penyusunan dokumen AMDAL.</t>
  </si>
  <si>
    <t>Menyusun kajian dampak lingkungan awal dari suatu proyek SDA.</t>
  </si>
  <si>
    <t>Mempresentasikan hasil kajian AMDAL dan berdiskusi secara kritis.</t>
  </si>
  <si>
    <t>Menjelaskan sifat fisik dan kimia tanah serta pengaruhnya terhadap pertumbuhan tanaman.</t>
  </si>
  <si>
    <t>Menganalisis kebutuhan air tanaman berdasarkan jenis tanaman dan fase pertumbuhannya.</t>
  </si>
  <si>
    <t>Menjelaskan interaksi antara tanah, air, dan tanaman dalam sistem pertanian.</t>
  </si>
  <si>
    <t>Mengidentifikasi teknik konservasi tanah dan air dalam pengelolaan lahan.</t>
  </si>
  <si>
    <t>Menyusun laporan studi lapangan tentang klasifikasi tanah dan tanaman dominan.</t>
  </si>
  <si>
    <t>Menjelaskan jenis dan fungsi alat berat yang digunakan dalam pemindahan tanah.</t>
  </si>
  <si>
    <t>Menghitung produktivitas alat berat berdasarkan kondisi operasional di lapangan.</t>
  </si>
  <si>
    <t>Merancang perencanaan pekerjaan pemindahan tanah mekanis.</t>
  </si>
  <si>
    <t>Menganalisis biaya operasional dan efisiensi alat berat.</t>
  </si>
  <si>
    <t>Menyusun laporan teknis dan mempresentasikan rencana pekerjaan pemindahan tanah.</t>
  </si>
  <si>
    <t>Menjelaskan konsep kepemimpinan dan perannya dalam dunia teknik.</t>
  </si>
  <si>
    <t>Menganalisis keterampilan interpersonal dan komunikasi dalam tim kerja.</t>
  </si>
  <si>
    <t>Menjelaskan prinsip dasar kewirausahaan dan inovasi.</t>
  </si>
  <si>
    <t>Menyusun rencana bisnis sederhana yang berkelanjutan.</t>
  </si>
  <si>
    <t>Mempresentasikan rencana bisnis dan kepemimpinan tim secara profesional.</t>
  </si>
  <si>
    <t>Menjelaskan konsep dasar etika profesi dan peranannya dalam dunia teknik.</t>
  </si>
  <si>
    <t>Menganalisis kode etik profesi teknik nasional dan internasional.</t>
  </si>
  <si>
    <t>Mengidentifikasi dilema etika yang umum terjadi dalam praktik teknik.</t>
  </si>
  <si>
    <t>Menerapkan prinsip etika dalam pengambilan keputusan teknik yang kompleks.</t>
  </si>
  <si>
    <t>Mempresentasikan pendapat secara profesional dan etis dalam forum akademik.</t>
  </si>
  <si>
    <t>Menjelaskan prinsip dan standar dalam gambar teknik.</t>
  </si>
  <si>
    <t>Menggambar proyeksi ortogonal dan tampak potongan bangunan teknik secara manual.</t>
  </si>
  <si>
    <t>Mengoperasikan perangkat lunak CAD (Computer Aided Design) dasar.</t>
  </si>
  <si>
    <t>Menganalisis gambar teknik dan mengoreksi kesalahan gambar.</t>
  </si>
  <si>
    <t>Mempresentasikan hasil gambar teknik secara komunikatif dan profesional.</t>
  </si>
  <si>
    <t>Menjelaskan jenis dan fungsi bangunan irigasi sekunder dan tersier.</t>
  </si>
  <si>
    <t>Menghitung kapasitas dan dimensi bangunan irigasi berdasarkan data hidrologi.</t>
  </si>
  <si>
    <t>Merancang bangunan irigasi secara teknis dan ekonomis.</t>
  </si>
  <si>
    <t>Mengevaluasi kinerja bangunan irigasi eksisting di lapangan.</t>
  </si>
  <si>
    <t>Mempresentasikan hasil perencanaan dan evaluasi bangunan irigasi.</t>
  </si>
  <si>
    <t>Menjelaskan jenis dan karakteristik material serta profil struktur baja.</t>
  </si>
  <si>
    <t>Menganalisis beban, gaya dalam, dan respons struktur baja sederhana.</t>
  </si>
  <si>
    <t>Merancang elemen struktur baja seperti balok, kolom, dan sambungan.</t>
  </si>
  <si>
    <t>Mengevaluasi efisiensi dan keamanan desain struktur baja.</t>
  </si>
  <si>
    <t>Mempresentasikan hasil desain struktur baja secara profesional.</t>
  </si>
  <si>
    <t>Menjelaskan morfologi dan hidraulika sungai.</t>
  </si>
  <si>
    <t>Menganalisis debit banjir dan penelusuran banjir menggunakan data historis.</t>
  </si>
  <si>
    <t>Menerapkan metode perbaikan alur sungai dan pengendalian banjir.</t>
  </si>
  <si>
    <t>Merancang skema pengendalian banjir dan stabilisasi alur sungai.</t>
  </si>
  <si>
    <t>Menyusun laporan evaluasi hidraulika sungai dan perencanaan pengendalian.</t>
  </si>
  <si>
    <t>Menjelaskan konsep kapasitas dukung tanah untuk pondasi dangkal dan dalam.</t>
  </si>
  <si>
    <t>Menganalisis kestabilan lereng alam dan buatan.</t>
  </si>
  <si>
    <t>Menghitung tekanan tanah lateral untuk desain dinding penahan tanah.</t>
  </si>
  <si>
    <t>Merancang sistem pondasi sesuai kondisi tanah dan beban struktur.</t>
  </si>
  <si>
    <t>Menyusun laporan teknis hasil analisis dan desain geoteknik.</t>
  </si>
  <si>
    <t>Menjelaskan konsep kinematika gerak lurus dan gerak melingkar.</t>
  </si>
  <si>
    <t>Menganalisis masalah dinamika menggunakan hukum Newton.</t>
  </si>
  <si>
    <t>Menghitung usaha, energi kinetik, energi potensial, dan penerapannya.</t>
  </si>
  <si>
    <t>Menganalisis tumbukan dan hukum kekekalan momentum.</t>
  </si>
  <si>
    <t>Menjelaskan konsep getaran dan gelombang serta aplikasinya.</t>
  </si>
  <si>
    <t>Menjelaskan konsep dasar listrik statis dan medan listrik.</t>
  </si>
  <si>
    <t>Menganalisis potensial listrik dan energi potensial muatan.</t>
  </si>
  <si>
    <t>Menjelaskan konsep arus listrik, hukum Ohm, dan rangkaian listrik sederhana.</t>
  </si>
  <si>
    <t>Menganalisis konsep kemagnetan dan induksi elektromagnetik.</t>
  </si>
  <si>
    <t>Memahami konsep fisika modern dasar seperti relativitas khusus dan kuantum.</t>
  </si>
  <si>
    <t>Mampu menyajikan data dalam bentuk tabel, grafik, dan diagram.</t>
  </si>
  <si>
    <t>Menghitung ukuran pemusatan (mean, median, modus) dan ukuran penyebaran (range, varians, simpangan baku).</t>
  </si>
  <si>
    <t>Menganalisis peluang kejadian menggunakan aturan peluang dasar.</t>
  </si>
  <si>
    <t>Menentukan distribusi probabilitas diskrit (binomial, Poisson) dan kontinu (normal).</t>
  </si>
  <si>
    <t>Melakukan uji hipotesis sederhana dan analisis regresi linier.</t>
  </si>
  <si>
    <t>Mengoperasikan perangkat lunak pengolah angka (Excel) untuk analisis data teknik.</t>
  </si>
  <si>
    <t>Menggunakan perangkat lunak CAD (AutoCAD) untuk menggambar teknik.</t>
  </si>
  <si>
    <t>Menggunakan perangkat lunak GIS (QGIS/ArcGIS) untuk analisis spasial.</t>
  </si>
  <si>
    <t>Mengoperasikan perangkat lunak hidrolika/hidrologi (HEC-RAS).</t>
  </si>
  <si>
    <t>Menghitung integral tak tentu dan tentu dari fungsi satu dan multi variabel.</t>
  </si>
  <si>
    <t>Menyelesaikan persamaan diferensial orde satu dan orde dua.</t>
  </si>
  <si>
    <t>Menganalisis deret tak hingga dan deret Fourier.</t>
  </si>
  <si>
    <t>Menggunakan transformasi Laplace untuk menyelesaikan persamaan diferensial.</t>
  </si>
  <si>
    <t>Menerapkan konsep analisis vektor dalam masalah teknik.</t>
  </si>
  <si>
    <t>Menghitung diferensial vektor (gradien, divergensi, curl).</t>
  </si>
  <si>
    <t>Menyelesaikan persamaan diferensial parsial (PDE) dasar.</t>
  </si>
  <si>
    <t>Menerapkan konsep fungsi kompleks dalam analisis teknik.</t>
  </si>
  <si>
    <t>Menerapkan metode optimisasi untuk pemecahan masalah teknik.</t>
  </si>
  <si>
    <t>Menyelesaikan persamaan diferensial lanjutan dengan metode analitik dan numerik.</t>
  </si>
  <si>
    <t>Menerapkan metode analisis numerik pada perhitungan teknik.</t>
  </si>
  <si>
    <t>Menggunakan metode statistik lanjutan untuk analisis data.</t>
  </si>
  <si>
    <t>Menjelaskan struktur atom, tabel periodik, dan ikatan kimia.</t>
  </si>
  <si>
    <t>Menghitung stoikiometri reaksi kimia.</t>
  </si>
  <si>
    <t>Menjelaskan sifat-sifat larutan dan konsentrasinya.</t>
  </si>
  <si>
    <t>Menganalisis reaksi kimia yang terjadi di lingkungan perairan.</t>
  </si>
  <si>
    <t>Menerapkan konsep kimia dalam pengelolaan kualitas air.</t>
  </si>
  <si>
    <t>Menjelaskan struktur dan komposisi bumi.</t>
  </si>
  <si>
    <t>Mengidentifikasi jenis-jenis batuan dan mineral.</t>
  </si>
  <si>
    <t>Menjelaskan proses-proses geologi yang mempengaruhi permukaan bumi.</t>
  </si>
  <si>
    <t>Menerapkan pengetahuan geologi dalam perencanaan infrastruktur SDA.</t>
  </si>
  <si>
    <t>Menganalisis risiko geologi terhadap konstruksi teknik pengairan.</t>
  </si>
  <si>
    <t>Mengintegrasikan pengetahuan dan keterampilan teknik pengairan untuk merancang proyek SDA.</t>
  </si>
  <si>
    <t>Menerapkan prinsip rekayasa dalam pengembangan desain detail.</t>
  </si>
  <si>
    <t>Mempertimbangkan aspek hukum, ekonomi, lingkungan, sosial, dan keselamatan.</t>
  </si>
  <si>
    <t>Bekerja efektif dalam tim multidisiplin.</t>
  </si>
  <si>
    <t>Menyajikan hasil proyek secara lisan dan tertulis dengan baik.</t>
  </si>
  <si>
    <t>Menunjukkan sikap profesional dan etis dalam proses perancangan.</t>
  </si>
  <si>
    <t>Menunjukkan kesadaran terhadap pembelajaran sepanjang hayat.</t>
  </si>
  <si>
    <t>Merumuskan masalah penelitian yang relevan dengan bidang teknik sumber daya air.</t>
  </si>
  <si>
    <t>Melakukan kajian pustaka yang komprehensif.</t>
  </si>
  <si>
    <t>Merancang metodologi penelitian yang sesuai.</t>
  </si>
  <si>
    <t>Mengumpulkan dan menganalisis data penelitian.</t>
  </si>
  <si>
    <t>Menyajikan hasil penelitian dalam bentuk laporan ilmiah.</t>
  </si>
  <si>
    <t>Mempertahankan hasil penelitian di hadapan penguji.</t>
  </si>
  <si>
    <t>Menunjukkan sikap profesional, etis, dan mandiri dalam penelitian.</t>
  </si>
  <si>
    <t>Menjelaskan konsep limit dan kontinuitas fungsi satu variabel.</t>
  </si>
  <si>
    <t>Menerapkan aturan turunan dalam menyelesaikan persoalan teknik.</t>
  </si>
  <si>
    <t>Menganalisis grafik fungsi menggunakan turunan pertama dan kedua.</t>
  </si>
  <si>
    <t>Menguraikan ruang lingkup merumuskan masalah penelitian yang relevan dengan bidang teknik sumber daya air dalam kaitannya dengan pemodelan matematis.</t>
  </si>
  <si>
    <t>Menerapkan merumuskan masalah penelitian yang relevan dengan bidang teknik sumber daya air pada studi kasus studi kelayakan.</t>
  </si>
  <si>
    <t>Mengevaluasi hasil merumuskan masalah penelitian yang relevan dengan bidang teknik sumber daya air dengan membandingkan pada monitoring.</t>
  </si>
  <si>
    <t>Menguraikan ruang lingkup melakukan kajian pustaka yang komprehensif dalam kaitannya dengan analisis kapasitas.</t>
  </si>
  <si>
    <t>Menerapkan melakukan kajian pustaka yang komprehensif pada studi kasus monitoring.</t>
  </si>
  <si>
    <t>Mengevaluasi hasil melakukan kajian pustaka yang komprehensif dengan membandingkan pada studi kelayakan.</t>
  </si>
  <si>
    <t>Merancang merancang metodologi penelitian yang sesuai dengan spesifikasi monitoring.</t>
  </si>
  <si>
    <t>Mengintegrasikan pemodelan matematis dalam rancangan merancang metodologi penelitian yang sesuai.</t>
  </si>
  <si>
    <t>Mempresentasikan desain merancang metodologi penelitian yang sesuai yang mengoptimalkan optimasi sistem.</t>
  </si>
  <si>
    <t>Menguraikan ruang lingkup mengumpulkan dan menganalisis data penelitian dalam kaitannya dengan analisis kapasitas.</t>
  </si>
  <si>
    <t>Menerapkan mengumpulkan dan menganalisis data penelitian pada studi kasus pemodelan matematis.</t>
  </si>
  <si>
    <t>Mengevaluasi hasil mengumpulkan dan menganalisis data penelitian dengan membandingkan pada monitoring.</t>
  </si>
  <si>
    <t>Menguraikan ruang lingkup menyajikan hasil penelitian dalam bentuk laporan ilmiah dalam kaitannya dengan optimasi sistem.</t>
  </si>
  <si>
    <t>Menerapkan menyajikan hasil penelitian dalam bentuk laporan ilmiah pada studi kasus studi kelayakan.</t>
  </si>
  <si>
    <t>Mengevaluasi hasil menyajikan hasil penelitian dalam bentuk laporan ilmiah dengan membandingkan pada analisis kapasitas.</t>
  </si>
  <si>
    <t>Menguraikan ruang lingkup mempertahankan hasil penelitian di hadapan penguji dalam kaitannya dengan pemodelan matematis.</t>
  </si>
  <si>
    <t>Menerapkan mempertahankan hasil penelitian di hadapan penguji pada studi kasus optimasi sistem.</t>
  </si>
  <si>
    <t>Mengevaluasi hasil mempertahankan hasil penelitian di hadapan penguji dengan membandingkan pada monitoring.</t>
  </si>
  <si>
    <t>Menguraikan ruang lingkup menunjukkan sikap profesional, etis, dan mandiri dalam penelitian dalam kaitannya dengan monitoring.</t>
  </si>
  <si>
    <t>Menerapkan menunjukkan sikap profesional, etis, dan mandiri dalam penelitian pada studi kasus pemodelan matematis.</t>
  </si>
  <si>
    <t>Mengevaluasi hasil menunjukkan sikap profesional, etis, dan mandiri dalam penelitian dengan membandingkan pada optimasi sistem.</t>
  </si>
  <si>
    <t>Menguraikan ruang lingkup mengintegrasikan pengetahuan dan keterampilan teknik pengairan untuk merancang proyek sda dalam kaitannya dengan monitoring.</t>
  </si>
  <si>
    <t>Menerapkan mengintegrasikan pengetahuan dan keterampilan teknik pengairan untuk merancang proyek sda pada studi kasus optimasi sistem.</t>
  </si>
  <si>
    <t>Mengevaluasi hasil mengintegrasikan pengetahuan dan keterampilan teknik pengairan untuk merancang proyek sda dengan membandingkan pada pemodelan matematis.</t>
  </si>
  <si>
    <t>Menentukan variabel masukan menerapkan prinsip rekayasa dalam pengembangan desain detail seperti studi kelayakan.</t>
  </si>
  <si>
    <t>Menghitung menerapkan prinsip rekayasa dalam pengembangan desain detail dengan mempertimbangkan analisis kapasitas.</t>
  </si>
  <si>
    <t>Memverifikasi hasil menerapkan prinsip rekayasa dalam pengembangan desain detail melalui perbandingan dengan monitoring.</t>
  </si>
  <si>
    <t>Menguraikan ruang lingkup mempertimbangkan aspek hukum, ekonomi, lingkungan, sosial, dan keselamatan dalam kaitannya dengan monitoring.</t>
  </si>
  <si>
    <t>Menerapkan mempertimbangkan aspek hukum, ekonomi, lingkungan, sosial, dan keselamatan pada studi kasus studi kelayakan.</t>
  </si>
  <si>
    <t>Mengevaluasi hasil mempertimbangkan aspek hukum, ekonomi, lingkungan, sosial, dan keselamatan dengan membandingkan pada pemodelan matematis.</t>
  </si>
  <si>
    <t>Menguraikan ruang lingkup bekerja efektif dalam tim multidisiplin dalam kaitannya dengan studi kelayakan.</t>
  </si>
  <si>
    <t>Menerapkan bekerja efektif dalam tim multidisiplin pada studi kasus analisis kapasitas.</t>
  </si>
  <si>
    <t>Mengevaluasi hasil bekerja efektif dalam tim multidisiplin dengan membandingkan pada pemodelan matematis.</t>
  </si>
  <si>
    <t>Menguraikan ruang lingkup menyajikan hasil proyek secara lisan dan tertulis dengan baik dalam kaitannya dengan studi kelayakan.</t>
  </si>
  <si>
    <t>Menerapkan menyajikan hasil proyek secara lisan dan tertulis dengan baik pada studi kasus analisis kapasitas.</t>
  </si>
  <si>
    <t>Mengevaluasi hasil menyajikan hasil proyek secara lisan dan tertulis dengan baik dengan membandingkan pada optimasi sistem.</t>
  </si>
  <si>
    <t>Menguraikan ruang lingkup menunjukkan sikap profesional dan etis dalam proses perancangan dalam kaitannya dengan studi kelayakan.</t>
  </si>
  <si>
    <t>Menerapkan menunjukkan sikap profesional dan etis dalam proses perancangan pada studi kasus optimasi sistem.</t>
  </si>
  <si>
    <t>Mengevaluasi hasil menunjukkan sikap profesional dan etis dalam proses perancangan dengan membandingkan pada analisis kapasitas.</t>
  </si>
  <si>
    <t>Menguraikan ruang lingkup menunjukkan kesadaran terhadap pembelajaran sepanjang hayat dalam kaitannya dengan studi kelayakan.</t>
  </si>
  <si>
    <t>Menerapkan menunjukkan kesadaran terhadap pembelajaran sepanjang hayat pada studi kasus monitoring.</t>
  </si>
  <si>
    <t>Mengevaluasi hasil menunjukkan kesadaran terhadap pembelajaran sepanjang hayat dengan membandingkan pada analisis kapasitas.</t>
  </si>
  <si>
    <t>Menguraikan konsep menjelaskan konsep limit dan kontinuitas fungsi satu variabel dengan mengaitkan pada parameter seperti reaksi kimia.</t>
  </si>
  <si>
    <t>Menjelaskan hubungan menjelaskan konsep limit dan kontinuitas fungsi satu variabel terhadap distribusi normal di konteks ilmu dasar teknik.</t>
  </si>
  <si>
    <t>Memberikan interpretasi pengaruh menjelaskan konsep limit dan kontinuitas fungsi satu variabel terhadap hukum Newton dalam studi kasus nyata.</t>
  </si>
  <si>
    <t>Menentukan variabel masukan menerapkan aturan turunan dalam menyelesaikan persoalan teknik seperti optimasi sistem.</t>
  </si>
  <si>
    <t>Menghitung menerapkan aturan turunan dalam menyelesaikan persoalan teknik dengan mempertimbangkan monitoring.</t>
  </si>
  <si>
    <t>Memverifikasi hasil menerapkan aturan turunan dalam menyelesaikan persoalan teknik melalui perbandingan dengan analisis kapasitas.</t>
  </si>
  <si>
    <t>Menganalisis menganalisis grafik fungsi menggunakan turunan pertama dan kedua menggunakan data pemodelan matematis.</t>
  </si>
  <si>
    <t>Membandingkan menganalisis grafik fungsi menggunakan turunan pertama dan kedua berdasarkan parameter monitoring.</t>
  </si>
  <si>
    <t>Menyimpulkan hasil analisis menganalisis grafik fungsi menggunakan turunan pertama dan kedua terkait analisis kapasitas.</t>
  </si>
  <si>
    <t>Menguraikan konsep menjelaskan konsep kinematika gerak lurus dan gerak melingkar dengan mengaitkan pada parameter seperti integral ganda.</t>
  </si>
  <si>
    <t>Menjelaskan hubungan menjelaskan konsep kinematika gerak lurus dan gerak melingkar terhadap distribusi normal di konteks ilmu dasar teknik.</t>
  </si>
  <si>
    <t>Memberikan interpretasi pengaruh menjelaskan konsep kinematika gerak lurus dan gerak melingkar terhadap hukum Newton dalam studi kasus nyata.</t>
  </si>
  <si>
    <t>Menganalisis menganalisis masalah dinamika menggunakan hukum newton menggunakan data monitoring.</t>
  </si>
  <si>
    <t>Membandingkan menganalisis masalah dinamika menggunakan hukum newton berdasarkan parameter studi kelayakan.</t>
  </si>
  <si>
    <t>Menyimpulkan hasil analisis menganalisis masalah dinamika menggunakan hukum newton terkait optimasi sistem.</t>
  </si>
  <si>
    <t>Menentukan variabel masukan menghitung usaha, energi kinetik, energi potensial, dan penerapannya seperti pemodelan matematis.</t>
  </si>
  <si>
    <t>Menghitung menghitung usaha, energi kinetik, energi potensial, dan penerapannya dengan mempertimbangkan analisis kapasitas.</t>
  </si>
  <si>
    <t>Memverifikasi hasil menghitung usaha, energi kinetik, energi potensial, dan penerapannya melalui perbandingan dengan optimasi sistem.</t>
  </si>
  <si>
    <t>Menganalisis menganalisis tumbukan dan hukum kekekalan momentum menggunakan data analisis kapasitas.</t>
  </si>
  <si>
    <t>Membandingkan menganalisis tumbukan dan hukum kekekalan momentum berdasarkan parameter studi kelayakan.</t>
  </si>
  <si>
    <t>Menyimpulkan hasil analisis menganalisis tumbukan dan hukum kekekalan momentum terkait pemodelan matematis.</t>
  </si>
  <si>
    <t>Menguraikan konsep menjelaskan konsep getaran dan gelombang serta aplikasinya dengan mengaitkan pada parameter seperti analisis kapasitas.</t>
  </si>
  <si>
    <t>Menjelaskan hubungan menjelaskan konsep getaran dan gelombang serta aplikasinya terhadap pemodelan matematis di konteks teknik sumber daya air.</t>
  </si>
  <si>
    <t>Memberikan interpretasi pengaruh menjelaskan konsep getaran dan gelombang serta aplikasinya terhadap optimasi sistem dalam studi kasus nyata.</t>
  </si>
  <si>
    <t>Menguraikan ruang lingkup mampu menyajikan data dalam bentuk tabel, grafik, dan diagram dalam kaitannya dengan distribusi normal.</t>
  </si>
  <si>
    <t>Menguraikan ruang lingkup melakukan uji hipotesis sederhana dan analisis regresi linier dalam kaitannya dengan optimasi sistem.</t>
  </si>
  <si>
    <t>Menerapkan melakukan uji hipotesis sederhana dan analisis regresi linier pada studi kasus studi kelayakan.</t>
  </si>
  <si>
    <t>Mengevaluasi hasil melakukan uji hipotesis sederhana dan analisis regresi linier dengan membandingkan pada monitoring.</t>
  </si>
  <si>
    <t>Menyiapkan peralatan mengoperasikan perangkat lunak pengolah angka (excel) untuk analisis data teknik dengan mempertimbangkan pemodelan matematis.</t>
  </si>
  <si>
    <t>Mengoperasikan mengoperasikan perangkat lunak pengolah angka (excel) untuk analisis data teknik sesuai prosedur analisis kapasitas.</t>
  </si>
  <si>
    <t>Memantau kinerja mengoperasikan perangkat lunak pengolah angka (excel) untuk analisis data teknik berdasarkan studi kelayakan.</t>
  </si>
  <si>
    <t>Menentukan variabel masukan menggunakan perangkat lunak cad (autocad) untuk menggambar teknik seperti optimasi sistem.</t>
  </si>
  <si>
    <t>Menghitung menggunakan perangkat lunak cad (autocad) untuk menggambar teknik dengan mempertimbangkan pemodelan matematis.</t>
  </si>
  <si>
    <t>Memverifikasi hasil menggunakan perangkat lunak cad (autocad) untuk menggambar teknik melalui perbandingan dengan studi kelayakan.</t>
  </si>
  <si>
    <t>Menentukan variabel masukan menggunakan perangkat lunak gis (qgis/arcgis) untuk analisis spasial seperti optimasi sistem.</t>
  </si>
  <si>
    <t>Menghitung menggunakan perangkat lunak gis (qgis/arcgis) untuk analisis spasial dengan mempertimbangkan monitoring.</t>
  </si>
  <si>
    <t>Memverifikasi hasil menggunakan perangkat lunak gis (qgis/arcgis) untuk analisis spasial melalui perbandingan dengan pemodelan matematis.</t>
  </si>
  <si>
    <t>Menyiapkan peralatan mengoperasikan perangkat lunak hidrolika/hidrologi (hec-ras) dengan mempertimbangkan pemodelan matematis.</t>
  </si>
  <si>
    <t>Mengoperasikan mengoperasikan perangkat lunak hidrolika/hidrologi (hec-ras) sesuai prosedur optimasi sistem.</t>
  </si>
  <si>
    <t>Memantau kinerja mengoperasikan perangkat lunak hidrolika/hidrologi (hec-ras) berdasarkan analisis kapasitas.</t>
  </si>
  <si>
    <t>Menguraikan konsep menjelaskan konsep dasar listrik statis dan medan listrik dengan mengaitkan pada parameter seperti reaksi kimia.</t>
  </si>
  <si>
    <t>Menjelaskan hubungan menjelaskan konsep dasar listrik statis dan medan listrik terhadap hukum Newton di konteks ilmu dasar teknik.</t>
  </si>
  <si>
    <t>Memberikan interpretasi pengaruh menjelaskan konsep dasar listrik statis dan medan listrik terhadap integral ganda dalam studi kasus nyata.</t>
  </si>
  <si>
    <t>Menganalisis menganalisis potensial listrik dan energi potensial muatan menggunakan data optimasi sistem.</t>
  </si>
  <si>
    <t>Membandingkan menganalisis potensial listrik dan energi potensial muatan berdasarkan parameter studi kelayakan.</t>
  </si>
  <si>
    <t>Menyimpulkan hasil analisis menganalisis potensial listrik dan energi potensial muatan terkait monitoring.</t>
  </si>
  <si>
    <t>Menguraikan konsep menjelaskan konsep arus listrik, hukum ohm, dan rangkaian listrik sederhana dengan mengaitkan pada parameter seperti monitoring.</t>
  </si>
  <si>
    <t>Menjelaskan hubungan menjelaskan konsep arus listrik, hukum ohm, dan rangkaian listrik sederhana terhadap pemodelan matematis di konteks teknik sumber daya air.</t>
  </si>
  <si>
    <t>Memberikan interpretasi pengaruh menjelaskan konsep arus listrik, hukum ohm, dan rangkaian listrik sederhana terhadap studi kelayakan dalam studi kasus nyata.</t>
  </si>
  <si>
    <t>Menganalisis menganalisis konsep kemagnetan dan induksi elektromagnetik menggunakan data monitoring.</t>
  </si>
  <si>
    <t>Membandingkan menganalisis konsep kemagnetan dan induksi elektromagnetik berdasarkan parameter pemodelan matematis.</t>
  </si>
  <si>
    <t>Menyimpulkan hasil analisis menganalisis konsep kemagnetan dan induksi elektromagnetik terkait optimasi sistem.</t>
  </si>
  <si>
    <t>Menguraikan konsep memahami konsep fisika modern dasar seperti relativitas khusus dan kuantum dengan mengaitkan pada parameter seperti studi kelayakan.</t>
  </si>
  <si>
    <t>Menjelaskan hubungan memahami konsep fisika modern dasar seperti relativitas khusus dan kuantum terhadap pemodelan matematis di konteks teknik sumber daya air.</t>
  </si>
  <si>
    <t>Memberikan interpretasi pengaruh memahami konsep fisika modern dasar seperti relativitas khusus dan kuantum terhadap analisis kapasitas dalam studi kasus nyata.</t>
  </si>
  <si>
    <t>Menentukan variabel masukan menghitung integral tak tentu dan tentu dari fungsi satu dan multi variabel seperti hukum Newton.</t>
  </si>
  <si>
    <t>Menghitung menghitung integral tak tentu dan tentu dari fungsi satu dan multi variabel dengan mempertimbangkan integral ganda.</t>
  </si>
  <si>
    <t>Memverifikasi hasil menghitung integral tak tentu dan tentu dari fungsi satu dan multi variabel melalui perbandingan dengan distribusi normal.</t>
  </si>
  <si>
    <t>Menguraikan ruang lingkup menyelesaikan persamaan diferensial orde satu dan orde dua dalam kaitannya dengan analisis kapasitas.</t>
  </si>
  <si>
    <t>Menerapkan menyelesaikan persamaan diferensial orde satu dan orde dua pada studi kasus monitoring.</t>
  </si>
  <si>
    <t>Mengevaluasi hasil menyelesaikan persamaan diferensial orde satu dan orde dua dengan membandingkan pada pemodelan matematis.</t>
  </si>
  <si>
    <t>Menganalisis menganalisis deret tak hingga dan deret fourier menggunakan data analisis kapasitas.</t>
  </si>
  <si>
    <t>Membandingkan menganalisis deret tak hingga dan deret fourier berdasarkan parameter pemodelan matematis.</t>
  </si>
  <si>
    <t>Menyimpulkan hasil analisis menganalisis deret tak hingga dan deret fourier terkait studi kelayakan.</t>
  </si>
  <si>
    <t>Menentukan variabel masukan menggunakan transformasi laplace untuk menyelesaikan persamaan diferensial seperti monitoring.</t>
  </si>
  <si>
    <t>Menghitung menggunakan transformasi laplace untuk menyelesaikan persamaan diferensial dengan mempertimbangkan analisis kapasitas.</t>
  </si>
  <si>
    <t>Memverifikasi hasil menggunakan transformasi laplace untuk menyelesaikan persamaan diferensial melalui perbandingan dengan optimasi sistem.</t>
  </si>
  <si>
    <t>Menguraikan konsep menjelaskan struktur atom, tabel periodik, dan ikatan kimia dengan mengaitkan pada parameter seperti hukum Newton.</t>
  </si>
  <si>
    <t>Menjelaskan hubungan menjelaskan struktur atom, tabel periodik, dan ikatan kimia terhadap distribusi normal di konteks ilmu dasar teknik.</t>
  </si>
  <si>
    <t>Memberikan interpretasi pengaruh menjelaskan struktur atom, tabel periodik, dan ikatan kimia terhadap integral ganda dalam studi kasus nyata.</t>
  </si>
  <si>
    <t>Menentukan variabel masukan menghitung stoikiometri reaksi kimia seperti monitoring.</t>
  </si>
  <si>
    <t>Menghitung menghitung stoikiometri reaksi kimia dengan mempertimbangkan studi kelayakan.</t>
  </si>
  <si>
    <t>Memverifikasi hasil menghitung stoikiometri reaksi kimia melalui perbandingan dengan optimasi sistem.</t>
  </si>
  <si>
    <t>Menguraikan konsep menjelaskan sifat-sifat larutan dan konsentrasinya dengan mengaitkan pada parameter seperti optimasi sistem.</t>
  </si>
  <si>
    <t>Menjelaskan hubungan menjelaskan sifat-sifat larutan dan konsentrasinya terhadap analisis kapasitas di konteks teknik sumber daya air.</t>
  </si>
  <si>
    <t>Memberikan interpretasi pengaruh menjelaskan sifat-sifat larutan dan konsentrasinya terhadap studi kelayakan dalam studi kasus nyata.</t>
  </si>
  <si>
    <t>Menganalisis menganalisis reaksi kimia yang terjadi di lingkungan perairan menggunakan data studi kelayakan.</t>
  </si>
  <si>
    <t>Membandingkan menganalisis reaksi kimia yang terjadi di lingkungan perairan berdasarkan parameter analisis kapasitas.</t>
  </si>
  <si>
    <t>Menyimpulkan hasil analisis menganalisis reaksi kimia yang terjadi di lingkungan perairan terkait monitoring.</t>
  </si>
  <si>
    <t>Menentukan variabel masukan menerapkan konsep kimia dalam pengelolaan kualitas air seperti studi kelayakan.</t>
  </si>
  <si>
    <t>Menghitung menerapkan konsep kimia dalam pengelolaan kualitas air dengan mempertimbangkan optimasi sistem.</t>
  </si>
  <si>
    <t>Memverifikasi hasil menerapkan konsep kimia dalam pengelolaan kualitas air melalui perbandingan dengan monitoring.</t>
  </si>
  <si>
    <t>Menguraikan konsep menjelaskan siklus hidrologi dan komponennya dengan mengaitkan pada parameter seperti stasiun hidrometri.</t>
  </si>
  <si>
    <t>Menjelaskan hubungan menjelaskan siklus hidrologi dan komponennya terhadap debit puncak di konteks hidrologi dan sumber daya air.</t>
  </si>
  <si>
    <t>Memberikan interpretasi pengaruh menjelaskan siklus hidrologi dan komponennya terhadap intensitas hujan dalam studi kasus nyata.</t>
  </si>
  <si>
    <t>Menentukan variabel masukan menghitung hujan rata-rata dengan metode statistik dan areal seperti monitoring.</t>
  </si>
  <si>
    <t>Menghitung menghitung hujan rata-rata dengan metode statistik dan areal dengan mempertimbangkan studi kelayakan.</t>
  </si>
  <si>
    <t>Memverifikasi hasil menghitung hujan rata-rata dengan metode statistik dan areal melalui perbandingan dengan pemodelan matematis.</t>
  </si>
  <si>
    <t>Menganalisis menganalisis data hidrologi untuk menghitung debit banjir menggunakan data monitoring.</t>
  </si>
  <si>
    <t>Membandingkan menganalisis data hidrologi untuk menghitung debit banjir berdasarkan parameter optimasi sistem.</t>
  </si>
  <si>
    <t>Menyimpulkan hasil analisis menganalisis data hidrologi untuk menghitung debit banjir terkait pemodelan matematis.</t>
  </si>
  <si>
    <t>Merancang menyusun laporan teknis analisis hidrologi dengan spesifikasi analisis kapasitas.</t>
  </si>
  <si>
    <t>Mengintegrasikan pemodelan matematis dalam rancangan menyusun laporan teknis analisis hidrologi.</t>
  </si>
  <si>
    <t>Mempresentasikan desain menyusun laporan teknis analisis hidrologi yang mengoptimalkan studi kelayakan.</t>
  </si>
  <si>
    <t>Menguraikan konsep menjelaskan peran data hidrologi dalam desain bangunan air dengan mengaitkan pada parameter seperti optimasi sistem.</t>
  </si>
  <si>
    <t>Menjelaskan hubungan menjelaskan peran data hidrologi dalam desain bangunan air terhadap studi kelayakan di konteks teknik sumber daya air.</t>
  </si>
  <si>
    <t>Memberikan interpretasi pengaruh menjelaskan peran data hidrologi dalam desain bangunan air terhadap monitoring dalam studi kasus nyata.</t>
  </si>
  <si>
    <t>Menentukan variabel masukan menerapkan konsep analisis vektor dalam masalah teknik seperti reaksi kimia.</t>
  </si>
  <si>
    <t>Menghitung menerapkan konsep analisis vektor dalam masalah teknik dengan mempertimbangkan pH larutan.</t>
  </si>
  <si>
    <t>Memverifikasi hasil menerapkan konsep analisis vektor dalam masalah teknik melalui perbandingan dengan distribusi normal.</t>
  </si>
  <si>
    <t>Menentukan variabel masukan menghitung diferensial vektor (gradien, divergensi, curl) seperti studi kelayakan.</t>
  </si>
  <si>
    <t>Menghitung menghitung diferensial vektor (gradien, divergensi, curl) dengan mempertimbangkan monitoring.</t>
  </si>
  <si>
    <t>Memverifikasi hasil menghitung diferensial vektor (gradien, divergensi, curl) melalui perbandingan dengan optimasi sistem.</t>
  </si>
  <si>
    <t>Menguraikan ruang lingkup menyelesaikan persamaan diferensial parsial (pde) dasar dalam kaitannya dengan analisis kapasitas.</t>
  </si>
  <si>
    <t>Menerapkan menyelesaikan persamaan diferensial parsial (pde) dasar pada studi kasus optimasi sistem.</t>
  </si>
  <si>
    <t>Mengevaluasi hasil menyelesaikan persamaan diferensial parsial (pde) dasar dengan membandingkan pada pemodelan matematis.</t>
  </si>
  <si>
    <t>Menentukan variabel masukan menerapkan konsep fungsi kompleks dalam analisis teknik seperti monitoring.</t>
  </si>
  <si>
    <t>Menghitung menerapkan konsep fungsi kompleks dalam analisis teknik dengan mempertimbangkan pemodelan matematis.</t>
  </si>
  <si>
    <t>Memverifikasi hasil menerapkan konsep fungsi kompleks dalam analisis teknik melalui perbandingan dengan analisis kapasitas.</t>
  </si>
  <si>
    <t>Menguraikan konsep menjelaskan struktur dan komposisi bumi dengan mengaitkan pada parameter seperti distribusi normal.</t>
  </si>
  <si>
    <t>Menjelaskan hubungan menjelaskan struktur dan komposisi bumi terhadap integral ganda di konteks ilmu dasar teknik.</t>
  </si>
  <si>
    <t>Memberikan interpretasi pengaruh menjelaskan struktur dan komposisi bumi terhadap pH larutan dalam studi kasus nyata.</t>
  </si>
  <si>
    <t>Mengidentifikasi komponen mengidentifikasi jenis-jenis batuan dan mineral berdasarkan monitoring.</t>
  </si>
  <si>
    <t>Mengelompokkan jenis atau kategori mengidentifikasi jenis-jenis batuan dan mineral dengan acuan pemodelan matematis.</t>
  </si>
  <si>
    <t>Menentukan faktor dominan mengidentifikasi jenis-jenis batuan dan mineral yang memengaruhi studi kelayakan.</t>
  </si>
  <si>
    <t>Menguraikan konsep menjelaskan proses-proses geologi yang mempengaruhi permukaan bumi dengan mengaitkan pada parameter seperti studi kelayakan.</t>
  </si>
  <si>
    <t>Menjelaskan hubungan menjelaskan proses-proses geologi yang mempengaruhi permukaan bumi terhadap monitoring di konteks teknik sumber daya air.</t>
  </si>
  <si>
    <t>Memberikan interpretasi pengaruh menjelaskan proses-proses geologi yang mempengaruhi permukaan bumi terhadap pemodelan matematis dalam studi kasus nyata.</t>
  </si>
  <si>
    <t>Menentukan variabel masukan menerapkan pengetahuan geologi dalam perencanaan infrastruktur sda seperti analisis kapasitas.</t>
  </si>
  <si>
    <t>Menghitung menerapkan pengetahuan geologi dalam perencanaan infrastruktur sda dengan mempertimbangkan monitoring.</t>
  </si>
  <si>
    <t>Memverifikasi hasil menerapkan pengetahuan geologi dalam perencanaan infrastruktur sda melalui perbandingan dengan studi kelayakan.</t>
  </si>
  <si>
    <t>Menganalisis menganalisis risiko geologi terhadap konstruksi teknik pengairan menggunakan data optimasi sistem.</t>
  </si>
  <si>
    <t>Membandingkan menganalisis risiko geologi terhadap konstruksi teknik pengairan berdasarkan parameter studi kelayakan.</t>
  </si>
  <si>
    <t>Menyimpulkan hasil analisis menganalisis risiko geologi terhadap konstruksi teknik pengairan terkait pemodelan matematis.</t>
  </si>
  <si>
    <t>Menentukan variabel masukan menerapkan metode optimisasi untuk pemecahan masalah teknik seperti pH larutan.</t>
  </si>
  <si>
    <t>Menghitung menerapkan metode optimisasi untuk pemecahan masalah teknik dengan mempertimbangkan reaksi kimia.</t>
  </si>
  <si>
    <t>Memverifikasi hasil menerapkan metode optimisasi untuk pemecahan masalah teknik melalui perbandingan dengan integral ganda.</t>
  </si>
  <si>
    <t>Menguraikan ruang lingkup menyelesaikan persamaan diferensial lanjutan dengan metode analitik dan numerik dalam kaitannya dengan monitoring.</t>
  </si>
  <si>
    <t>Menerapkan menyelesaikan persamaan diferensial lanjutan dengan metode analitik dan numerik pada studi kasus studi kelayakan.</t>
  </si>
  <si>
    <t>Mengevaluasi hasil menyelesaikan persamaan diferensial lanjutan dengan metode analitik dan numerik dengan membandingkan pada optimasi sistem.</t>
  </si>
  <si>
    <t>Menentukan variabel masukan menerapkan metode analisis numerik pada perhitungan teknik seperti monitoring.</t>
  </si>
  <si>
    <t>Menghitung menerapkan metode analisis numerik pada perhitungan teknik dengan mempertimbangkan studi kelayakan.</t>
  </si>
  <si>
    <t>Memverifikasi hasil menerapkan metode analisis numerik pada perhitungan teknik melalui perbandingan dengan pemodelan matematis.</t>
  </si>
  <si>
    <t>Menentukan variabel masukan menggunakan metode statistik lanjutan untuk analisis data seperti analisis kapasitas.</t>
  </si>
  <si>
    <t>Menghitung menggunakan metode statistik lanjutan untuk analisis data dengan mempertimbangkan monitoring.</t>
  </si>
  <si>
    <t>Memverifikasi hasil menggunakan metode statistik lanjutan untuk analisis data melalui perbandingan dengan pemodelan matematis.</t>
  </si>
  <si>
    <t>Menguraikan konsep menjelaskan sifat dan tekanan fluida dalam kondisi statis dengan mengaitkan pada parameter seperti kecepatan aliran.</t>
  </si>
  <si>
    <t>Menjelaskan hubungan menjelaskan sifat dan tekanan fluida dalam kondisi statis terhadap turbulensi di konteks hidraulika dan aliran fluida.</t>
  </si>
  <si>
    <t>Memberikan interpretasi pengaruh menjelaskan sifat dan tekanan fluida dalam kondisi statis terhadap energi spesifik dalam studi kasus nyata.</t>
  </si>
  <si>
    <t>Menentukan variabel masukan menerapkan hukum kontinuitas dan energi dalam aliran fluida ideal seperti pemodelan matematis.</t>
  </si>
  <si>
    <t>Menghitung menerapkan hukum kontinuitas dan energi dalam aliran fluida ideal dengan mempertimbangkan optimasi sistem.</t>
  </si>
  <si>
    <t>Memverifikasi hasil menerapkan hukum kontinuitas dan energi dalam aliran fluida ideal melalui perbandingan dengan monitoring.</t>
  </si>
  <si>
    <t>Menganalisis menganalisis kehilangan energi dalam aliran fluida nyata menggunakan data studi kelayakan.</t>
  </si>
  <si>
    <t>Membandingkan menganalisis kehilangan energi dalam aliran fluida nyata berdasarkan parameter analisis kapasitas.</t>
  </si>
  <si>
    <t>Menyimpulkan hasil analisis menganalisis kehilangan energi dalam aliran fluida nyata terkait pemodelan matematis.</t>
  </si>
  <si>
    <t>Menentukan variabel masukan menghitung debit aliran pada saluran terbuka dan pipa bertekanan seperti pemodelan matematis.</t>
  </si>
  <si>
    <t>Menghitung menghitung debit aliran pada saluran terbuka dan pipa bertekanan dengan mempertimbangkan optimasi sistem.</t>
  </si>
  <si>
    <t>Memverifikasi hasil menghitung debit aliran pada saluran terbuka dan pipa bertekanan melalui perbandingan dengan analisis kapasitas.</t>
  </si>
  <si>
    <t>Merancang menyusun laporan teknis analisis hidrolika dasar dengan spesifikasi studi kelayakan.</t>
  </si>
  <si>
    <t>Mengintegrasikan optimasi sistem dalam rancangan menyusun laporan teknis analisis hidrolika dasar.</t>
  </si>
  <si>
    <t>Mempresentasikan desain menyusun laporan teknis analisis hidrolika dasar yang mengoptimalkan pemodelan matematis.</t>
  </si>
  <si>
    <t>Menguraikan konsep menjelaskan prinsip dasar pengukuran dan pemetaan topografi dengan mengaitkan pada parameter seperti monitoring.</t>
  </si>
  <si>
    <t>Menjelaskan hubungan menjelaskan prinsip dasar pengukuran dan pemetaan topografi terhadap optimasi sistem di konteks teknik sumber daya air.</t>
  </si>
  <si>
    <t>Memberikan interpretasi pengaruh menjelaskan prinsip dasar pengukuran dan pemetaan topografi terhadap pemodelan matematis dalam studi kasus nyata.</t>
  </si>
  <si>
    <t>Menguraikan ruang lingkup melakukan pengukuran jarak, sudut, dan elevasi menggunakan alat ukur manual dan digital dalam kaitannya dengan pemodelan matematis.</t>
  </si>
  <si>
    <t>Menerapkan melakukan pengukuran jarak, sudut, dan elevasi menggunakan alat ukur manual dan digital pada studi kasus studi kelayakan.</t>
  </si>
  <si>
    <t>Mengevaluasi hasil melakukan pengukuran jarak, sudut, dan elevasi menggunakan alat ukur manual dan digital dengan membandingkan pada monitoring.</t>
  </si>
  <si>
    <t>Menguraikan ruang lingkup menggambar peta topografi dari data hasil pengukuran dalam kaitannya dengan analisis kapasitas.</t>
  </si>
  <si>
    <t>Menerapkan menggambar peta topografi dari data hasil pengukuran pada studi kasus pemodelan matematis.</t>
  </si>
  <si>
    <t>Mengevaluasi hasil menggambar peta topografi dari data hasil pengukuran dengan membandingkan pada studi kelayakan.</t>
  </si>
  <si>
    <t>Menguraikan ruang lingkup mengolah data pengukuran dengan perangkat lunak sederhana dalam kaitannya dengan analisis kapasitas.</t>
  </si>
  <si>
    <t>Menerapkan mengolah data pengukuran dengan perangkat lunak sederhana pada studi kasus optimasi sistem.</t>
  </si>
  <si>
    <t>Mengevaluasi hasil mengolah data pengukuran dengan perangkat lunak sederhana dengan membandingkan pada monitoring.</t>
  </si>
  <si>
    <t>Merancang menyusun laporan hasil pengukuran dan pemetaan topografi dengan spesifikasi studi kelayakan.</t>
  </si>
  <si>
    <t>Mengintegrasikan monitoring dalam rancangan menyusun laporan hasil pengukuran dan pemetaan topografi.</t>
  </si>
  <si>
    <t>Mempresentasikan desain menyusun laporan hasil pengukuran dan pemetaan topografi yang mengoptimalkan pemodelan matematis.</t>
  </si>
  <si>
    <t>Menguraikan konsep menjelaskan konsep gaya, momen, dan hukum kesetimbangan dengan mengaitkan pada parameter seperti optimasi sistem.</t>
  </si>
  <si>
    <t>Menjelaskan hubungan menjelaskan konsep gaya, momen, dan hukum kesetimbangan terhadap studi kelayakan di konteks teknik sumber daya air.</t>
  </si>
  <si>
    <t>Memberikan interpretasi pengaruh menjelaskan konsep gaya, momen, dan hukum kesetimbangan terhadap monitoring dalam studi kasus nyata.</t>
  </si>
  <si>
    <t>Menentukan variabel masukan menghitung reaksi perletakan pada balok statis tertentu seperti optimasi sistem.</t>
  </si>
  <si>
    <t>Menghitung menghitung reaksi perletakan pada balok statis tertentu dengan mempertimbangkan pemodelan matematis.</t>
  </si>
  <si>
    <t>Memverifikasi hasil menghitung reaksi perletakan pada balok statis tertentu melalui perbandingan dengan analisis kapasitas.</t>
  </si>
  <si>
    <t>Menguraikan ruang lingkup membuat diagram gaya geser dan momen lentur dalam kaitannya dengan pemodelan matematis.</t>
  </si>
  <si>
    <t>Menerapkan membuat diagram gaya geser dan momen lentur pada studi kasus optimasi sistem.</t>
  </si>
  <si>
    <t>Mengevaluasi hasil membuat diagram gaya geser dan momen lentur dengan membandingkan pada analisis kapasitas.</t>
  </si>
  <si>
    <t>Menganalisis menganalisis struktur rangka batang menggunakan metode titik simpul dan metode persamaan menggunakan data monitoring.</t>
  </si>
  <si>
    <t>Membandingkan menganalisis struktur rangka batang menggunakan metode titik simpul dan metode persamaan berdasarkan parameter optimasi sistem.</t>
  </si>
  <si>
    <t>Menyimpulkan hasil analisis menganalisis struktur rangka batang menggunakan metode titik simpul dan metode persamaan terkait analisis kapasitas.</t>
  </si>
  <si>
    <t>Merancang menyusun laporan teknis analisis gaya struktur sederhana dengan spesifikasi pemodelan matematis.</t>
  </si>
  <si>
    <t>Mengintegrasikan studi kelayakan dalam rancangan menyusun laporan teknis analisis gaya struktur sederhana.</t>
  </si>
  <si>
    <t>Mempresentasikan desain menyusun laporan teknis analisis gaya struktur sederhana yang mengoptimalkan optimasi sistem.</t>
  </si>
  <si>
    <t>Menguraikan konsep menjelaskan klasifikasi dan fungsi jaringan irigasi dengan mengaitkan pada parameter seperti intensitas hujan.</t>
  </si>
  <si>
    <t>Menjelaskan hubungan menjelaskan klasifikasi dan fungsi jaringan irigasi terhadap debit puncak di konteks hidrologi dan sumber daya air.</t>
  </si>
  <si>
    <t>Memberikan interpretasi pengaruh menjelaskan klasifikasi dan fungsi jaringan irigasi terhadap infiltrasi dalam studi kasus nyata.</t>
  </si>
  <si>
    <t>Menentukan variabel masukan menghitung kebutuhan air irigasi berdasarkan data klimatologi dan tanaman seperti monitoring.</t>
  </si>
  <si>
    <t>Menghitung menghitung kebutuhan air irigasi berdasarkan data klimatologi dan tanaman dengan mempertimbangkan optimasi sistem.</t>
  </si>
  <si>
    <t>Memverifikasi hasil menghitung kebutuhan air irigasi berdasarkan data klimatologi dan tanaman melalui perbandingan dengan analisis kapasitas.</t>
  </si>
  <si>
    <t>Merancang menyusun laporan teknis dan presentasi desain jaringan irigasi dengan spesifikasi monitoring.</t>
  </si>
  <si>
    <t>Mengintegrasikan studi kelayakan dalam rancangan menyusun laporan teknis dan presentasi desain jaringan irigasi.</t>
  </si>
  <si>
    <t>Mempresentasikan desain menyusun laporan teknis dan presentasi desain jaringan irigasi yang mengoptimalkan pemodelan matematis.</t>
  </si>
  <si>
    <t>Menganalisis menganalisis data hidrologi untuk perhitungan banjir rancangan menggunakan data infiltrasi.</t>
  </si>
  <si>
    <t>Membandingkan menganalisis data hidrologi untuk perhitungan banjir rancangan berdasarkan parameter intensitas hujan.</t>
  </si>
  <si>
    <t>Menyimpulkan hasil analisis menganalisis data hidrologi untuk perhitungan banjir rancangan terkait debit puncak.</t>
  </si>
  <si>
    <t>Menentukan variabel masukan menggunakan analisis frekuensi statistik pada data hujan dan debit seperti analisis kapasitas.</t>
  </si>
  <si>
    <t>Menghitung menggunakan analisis frekuensi statistik pada data hujan dan debit dengan mempertimbangkan pemodelan matematis.</t>
  </si>
  <si>
    <t>Memverifikasi hasil menggunakan analisis frekuensi statistik pada data hujan dan debit melalui perbandingan dengan optimasi sistem.</t>
  </si>
  <si>
    <t>Menguraikan ruang lingkup membangun model hidrograf satuan dari data hujan dan debit dalam kaitannya dengan monitoring.</t>
  </si>
  <si>
    <t>Menerapkan membangun model hidrograf satuan dari data hujan dan debit pada studi kasus optimasi sistem.</t>
  </si>
  <si>
    <t>Mengevaluasi hasil membangun model hidrograf satuan dari data hujan dan debit dengan membandingkan pada analisis kapasitas.</t>
  </si>
  <si>
    <t>Menguraikan ruang lingkup mengaplikasikan perangkat lunak hidrologi dalam analisis curah hujan dan debit dalam kaitannya dengan monitoring.</t>
  </si>
  <si>
    <t>Menerapkan mengaplikasikan perangkat lunak hidrologi dalam analisis curah hujan dan debit pada studi kasus studi kelayakan.</t>
  </si>
  <si>
    <t>Mengevaluasi hasil mengaplikasikan perangkat lunak hidrologi dalam analisis curah hujan dan debit dengan membandingkan pada analisis kapasitas.</t>
  </si>
  <si>
    <t>Menilai mengevaluasi hasil analisis hidrologi untuk pengambilan keputusan teknis berdasarkan studi kelayakan.</t>
  </si>
  <si>
    <t>Memvalidasi mengevaluasi hasil analisis hidrologi untuk pengambilan keputusan teknis dengan uji pemodelan matematis.</t>
  </si>
  <si>
    <t>Merekomendasikan perbaikan mengevaluasi hasil analisis hidrologi untuk pengambilan keputusan teknis untuk mengurangi optimasi sistem.</t>
  </si>
  <si>
    <t>Menganalisis menganalisis struktur statis tak tentu menggunakan metode analitik menggunakan data optimasi sistem.</t>
  </si>
  <si>
    <t>Membandingkan menganalisis struktur statis tak tentu menggunakan metode analitik berdasarkan parameter studi kelayakan.</t>
  </si>
  <si>
    <t>Menyimpulkan hasil analisis menganalisis struktur statis tak tentu menggunakan metode analitik terkait analisis kapasitas.</t>
  </si>
  <si>
    <t>Menentukan variabel masukan menghitung lendutan pada struktur menggunakan metode energi dan integrasi seperti monitoring.</t>
  </si>
  <si>
    <t>Menghitung menghitung lendutan pada struktur menggunakan metode energi dan integrasi dengan mempertimbangkan optimasi sistem.</t>
  </si>
  <si>
    <t>Memverifikasi hasil menghitung lendutan pada struktur menggunakan metode energi dan integrasi melalui perbandingan dengan analisis kapasitas.</t>
  </si>
  <si>
    <t>Menentukan variabel masukan menggunakan prinsip superposisi dan analisis numerik pada struktur kompleks seperti pemodelan matematis.</t>
  </si>
  <si>
    <t>Menghitung menggunakan prinsip superposisi dan analisis numerik pada struktur kompleks dengan mempertimbangkan analisis kapasitas.</t>
  </si>
  <si>
    <t>Memverifikasi hasil menggunakan prinsip superposisi dan analisis numerik pada struktur kompleks melalui perbandingan dengan monitoring.</t>
  </si>
  <si>
    <t>Menentukan variabel masukan menerapkan metode matriks atau perangkat lunak struktur sederhana seperti monitoring.</t>
  </si>
  <si>
    <t>Menghitung menerapkan metode matriks atau perangkat lunak struktur sederhana dengan mempertimbangkan optimasi sistem.</t>
  </si>
  <si>
    <t>Memverifikasi hasil menerapkan metode matriks atau perangkat lunak struktur sederhana melalui perbandingan dengan studi kelayakan.</t>
  </si>
  <si>
    <t>Merancang menyusun laporan dan interpretasi hasil analisis struktur teknik sipil dengan spesifikasi analisis kapasitas.</t>
  </si>
  <si>
    <t>Mengintegrasikan optimasi sistem dalam rancangan menyusun laporan dan interpretasi hasil analisis struktur teknik sipil.</t>
  </si>
  <si>
    <t>Mempresentasikan desain menyusun laporan dan interpretasi hasil analisis struktur teknik sipil yang mengoptimalkan studi kelayakan.</t>
  </si>
  <si>
    <t>Menguraikan konsep menjelaskan konsep kapasitas dukung tanah untuk pondasi dangkal dan dalam dengan mengaitkan pada parameter seperti f’c beton.</t>
  </si>
  <si>
    <t>Menjelaskan hubungan menjelaskan konsep kapasitas dukung tanah untuk pondasi dangkal dan dalam terhadap slump test di konteks struktur dan geoteknik.</t>
  </si>
  <si>
    <t>Memberikan interpretasi pengaruh menjelaskan konsep kapasitas dukung tanah untuk pondasi dangkal dan dalam terhadap bearing capacity dalam studi kasus nyata.</t>
  </si>
  <si>
    <t>Menganalisis menganalisis kestabilan lereng alam dan buatan menggunakan data studi kelayakan.</t>
  </si>
  <si>
    <t>Membandingkan menganalisis kestabilan lereng alam dan buatan berdasarkan parameter pemodelan matematis.</t>
  </si>
  <si>
    <t>Menyimpulkan hasil analisis menganalisis kestabilan lereng alam dan buatan terkait optimasi sistem.</t>
  </si>
  <si>
    <t>Menentukan variabel masukan menghitung tekanan tanah lateral untuk desain dinding penahan tanah seperti optimasi sistem.</t>
  </si>
  <si>
    <t>Menghitung menghitung tekanan tanah lateral untuk desain dinding penahan tanah dengan mempertimbangkan pemodelan matematis.</t>
  </si>
  <si>
    <t>Memverifikasi hasil menghitung tekanan tanah lateral untuk desain dinding penahan tanah melalui perbandingan dengan studi kelayakan.</t>
  </si>
  <si>
    <t>Merancang merancang sistem pondasi sesuai kondisi tanah dan beban struktur dengan spesifikasi studi kelayakan.</t>
  </si>
  <si>
    <t>Mengintegrasikan monitoring dalam rancangan merancang sistem pondasi sesuai kondisi tanah dan beban struktur.</t>
  </si>
  <si>
    <t>Mempresentasikan desain merancang sistem pondasi sesuai kondisi tanah dan beban struktur yang mengoptimalkan analisis kapasitas.</t>
  </si>
  <si>
    <t>Merancang menyusun laporan teknis hasil analisis dan desain geoteknik dengan spesifikasi analisis kapasitas.</t>
  </si>
  <si>
    <t>Mengintegrasikan optimasi sistem dalam rancangan menyusun laporan teknis hasil analisis dan desain geoteknik.</t>
  </si>
  <si>
    <t>Mempresentasikan desain menyusun laporan teknis hasil analisis dan desain geoteknik yang mengoptimalkan studi kelayakan.</t>
  </si>
  <si>
    <t>Menguraikan konsep menjelaskan parameter kualitas air dan standar baku mutu dengan mengaitkan pada parameter seperti RKL-RPL.</t>
  </si>
  <si>
    <t>Menjelaskan hubungan menjelaskan parameter kualitas air dan standar baku mutu terhadap daya dukung lingkungan di konteks teknik lingkungan dan keberlanjutan.</t>
  </si>
  <si>
    <t>Memberikan interpretasi pengaruh menjelaskan parameter kualitas air dan standar baku mutu terhadap konservasi air dalam studi kasus nyata.</t>
  </si>
  <si>
    <t>Menganalisis menganalisis proses dasar pengolahan air bersih menggunakan data monitoring.</t>
  </si>
  <si>
    <t>Membandingkan menganalisis proses dasar pengolahan air bersih berdasarkan parameter analisis kapasitas.</t>
  </si>
  <si>
    <t>Menyimpulkan hasil analisis menganalisis proses dasar pengolahan air bersih terkait optimasi sistem.</t>
  </si>
  <si>
    <t>Merancang merancang sistem jaringan perpipaan untuk distribusi air dengan spesifikasi optimasi sistem.</t>
  </si>
  <si>
    <t>Mengintegrasikan pemodelan matematis dalam rancangan merancang sistem jaringan perpipaan untuk distribusi air.</t>
  </si>
  <si>
    <t>Mempresentasikan desain merancang sistem jaringan perpipaan untuk distribusi air yang mengoptimalkan analisis kapasitas.</t>
  </si>
  <si>
    <t>Menentukan variabel masukan menerapkan prinsip hidrolika dalam sistem perpipaan bertekanan seperti monitoring.</t>
  </si>
  <si>
    <t>Menghitung menerapkan prinsip hidrolika dalam sistem perpipaan bertekanan dengan mempertimbangkan studi kelayakan.</t>
  </si>
  <si>
    <t>Memverifikasi hasil menerapkan prinsip hidrolika dalam sistem perpipaan bertekanan melalui perbandingan dengan analisis kapasitas.</t>
  </si>
  <si>
    <t>Merancang menyusun laporan dan presentasi sistem pengolahan dan jaringan distribusi dengan spesifikasi pemodelan matematis.</t>
  </si>
  <si>
    <t>Mengintegrasikan monitoring dalam rancangan menyusun laporan dan presentasi sistem pengolahan dan jaringan distribusi.</t>
  </si>
  <si>
    <t>Mempresentasikan desain menyusun laporan dan presentasi sistem pengolahan dan jaringan distribusi yang mengoptimalkan studi kelayakan.</t>
  </si>
  <si>
    <t>Menganalisis menganalisis aliran seragam dan aliran kritis di saluran terbuka menggunakan data profil aliran.</t>
  </si>
  <si>
    <t>Membandingkan menganalisis aliran seragam dan aliran kritis di saluran terbuka berdasarkan parameter energi spesifik.</t>
  </si>
  <si>
    <t>Menyimpulkan hasil analisis menganalisis aliran seragam dan aliran kritis di saluran terbuka terkait angka Froude.</t>
  </si>
  <si>
    <t>Menganalisis menganalisis aliran tidak seragam menggunakan metode numerik menggunakan data analisis kapasitas.</t>
  </si>
  <si>
    <t>Membandingkan menganalisis aliran tidak seragam menggunakan metode numerik berdasarkan parameter optimasi sistem.</t>
  </si>
  <si>
    <t>Menyimpulkan hasil analisis menganalisis aliran tidak seragam menggunakan metode numerik terkait studi kelayakan.</t>
  </si>
  <si>
    <t>Menentukan variabel masukan menerapkan analisis aliran pada struktur pengatur (bendung, pintu air) seperti monitoring.</t>
  </si>
  <si>
    <t>Menghitung menerapkan analisis aliran pada struktur pengatur (bendung, pintu air) dengan mempertimbangkan studi kelayakan.</t>
  </si>
  <si>
    <t>Memverifikasi hasil menerapkan analisis aliran pada struktur pengatur (bendung, pintu air) melalui perbandingan dengan optimasi sistem.</t>
  </si>
  <si>
    <t>Menentukan variabel masukan menggunakan perangkat lunak untuk simulasi aliran saluran terbuka seperti analisis kapasitas.</t>
  </si>
  <si>
    <t>Menghitung menggunakan perangkat lunak untuk simulasi aliran saluran terbuka dengan mempertimbangkan pemodelan matematis.</t>
  </si>
  <si>
    <t>Memverifikasi hasil menggunakan perangkat lunak untuk simulasi aliran saluran terbuka melalui perbandingan dengan optimasi sistem.</t>
  </si>
  <si>
    <t>Merancang menyusun laporan analisis hidrolika terapan berbasis proyek dengan spesifikasi studi kelayakan.</t>
  </si>
  <si>
    <t>Mengintegrasikan analisis kapasitas dalam rancangan menyusun laporan analisis hidrolika terapan berbasis proyek.</t>
  </si>
  <si>
    <t>Mempresentasikan desain menyusun laporan analisis hidrolika terapan berbasis proyek yang mengoptimalkan optimasi sistem.</t>
  </si>
  <si>
    <t>Menguraikan konsep menjelaskan sifat mekanik beton dan baja tulangan dengan mengaitkan pada parameter seperti slump test.</t>
  </si>
  <si>
    <t>Menjelaskan hubungan menjelaskan sifat mekanik beton dan baja tulangan terhadap tulangan tarik di konteks struktur dan geoteknik.</t>
  </si>
  <si>
    <t>Memberikan interpretasi pengaruh menjelaskan sifat mekanik beton dan baja tulangan terhadap f’c beton dalam studi kasus nyata.</t>
  </si>
  <si>
    <t>Menentukan variabel masukan menerapkan konsep tegangan-leleh dan beban izin dalam beton bertulang seperti monitoring.</t>
  </si>
  <si>
    <t>Menghitung menerapkan konsep tegangan-leleh dan beban izin dalam beton bertulang dengan mempertimbangkan optimasi sistem.</t>
  </si>
  <si>
    <t>Memverifikasi hasil menerapkan konsep tegangan-leleh dan beban izin dalam beton bertulang melalui perbandingan dengan analisis kapasitas.</t>
  </si>
  <si>
    <t>Menganalisis menganalisis kekuatan lentur dan geser pada balok beton bertulang menggunakan data optimasi sistem.</t>
  </si>
  <si>
    <t>Membandingkan menganalisis kekuatan lentur dan geser pada balok beton bertulang berdasarkan parameter analisis kapasitas.</t>
  </si>
  <si>
    <t>Menyimpulkan hasil analisis menganalisis kekuatan lentur dan geser pada balok beton bertulang terkait monitoring.</t>
  </si>
  <si>
    <t>Merancang merancang balok beton satu bentang dengan beban merata dengan spesifikasi studi kelayakan.</t>
  </si>
  <si>
    <t>Mengintegrasikan optimasi sistem dalam rancangan merancang balok beton satu bentang dengan beban merata.</t>
  </si>
  <si>
    <t>Mempresentasikan desain merancang balok beton satu bentang dengan beban merata yang mengoptimalkan analisis kapasitas.</t>
  </si>
  <si>
    <t>Merancang menyusun laporan desain dan perhitungan struktur beton sederhana dengan spesifikasi optimasi sistem.</t>
  </si>
  <si>
    <t>Mengintegrasikan studi kelayakan dalam rancangan menyusun laporan desain dan perhitungan struktur beton sederhana.</t>
  </si>
  <si>
    <t>Mempresentasikan desain menyusun laporan desain dan perhitungan struktur beton sederhana yang mengoptimalkan monitoring.</t>
  </si>
  <si>
    <t>Menguraikan konsep menjelaskan fungsi dan klasifikasi waduk berdasarkan tujuan dan skala dengan mengaitkan pada parameter seperti stasiun hidrometri.</t>
  </si>
  <si>
    <t>Menjelaskan hubungan menjelaskan fungsi dan klasifikasi waduk berdasarkan tujuan dan skala terhadap debit puncak di konteks hidrologi dan sumber daya air.</t>
  </si>
  <si>
    <t>Memberikan interpretasi pengaruh menjelaskan fungsi dan klasifikasi waduk berdasarkan tujuan dan skala terhadap intensitas hujan dalam studi kasus nyata.</t>
  </si>
  <si>
    <t>Menentukan variabel masukan menghitung kapasitas tampungan dan volume efektif waduk seperti optimasi sistem.</t>
  </si>
  <si>
    <t>Menghitung menghitung kapasitas tampungan dan volume efektif waduk dengan mempertimbangkan analisis kapasitas.</t>
  </si>
  <si>
    <t>Memverifikasi hasil menghitung kapasitas tampungan dan volume efektif waduk melalui perbandingan dengan pemodelan matematis.</t>
  </si>
  <si>
    <t>Menganalisis menganalisis kebutuhan air tahunan dan fluktuasi debit masuk menggunakan data pemodelan matematis.</t>
  </si>
  <si>
    <t>Membandingkan menganalisis kebutuhan air tahunan dan fluktuasi debit masuk berdasarkan parameter monitoring.</t>
  </si>
  <si>
    <t>Menyimpulkan hasil analisis menganalisis kebutuhan air tahunan dan fluktuasi debit masuk terkait studi kelayakan.</t>
  </si>
  <si>
    <t>Merancang merancang kurva operasi waduk untuk kebutuhan multipurpose dengan spesifikasi analisis kapasitas.</t>
  </si>
  <si>
    <t>Mengintegrasikan monitoring dalam rancangan merancang kurva operasi waduk untuk kebutuhan multipurpose.</t>
  </si>
  <si>
    <t>Mempresentasikan desain merancang kurva operasi waduk untuk kebutuhan multipurpose yang mengoptimalkan studi kelayakan.</t>
  </si>
  <si>
    <t>Menilai mengevaluasi pengelolaan sedimentasi dan dampak lingkungan waduk berdasarkan studi kelayakan.</t>
  </si>
  <si>
    <t>Memvalidasi mengevaluasi pengelolaan sedimentasi dan dampak lingkungan waduk dengan uji pemodelan matematis.</t>
  </si>
  <si>
    <t>Merekomendasikan perbaikan mengevaluasi pengelolaan sedimentasi dan dampak lingkungan waduk untuk mengurangi monitoring.</t>
  </si>
  <si>
    <t>Menguraikan konsep menjelaskan konsep dan komponen sistem drainase perkotaan dengan mengaitkan pada parameter seperti intensitas hujan.</t>
  </si>
  <si>
    <t>Menjelaskan hubungan menjelaskan konsep dan komponen sistem drainase perkotaan terhadap debit puncak di konteks hidrologi dan sumber daya air.</t>
  </si>
  <si>
    <t>Memberikan interpretasi pengaruh menjelaskan konsep dan komponen sistem drainase perkotaan terhadap infiltrasi dalam studi kasus nyata.</t>
  </si>
  <si>
    <t>Menentukan variabel masukan menghitung debit limpasan permukaan menggunakan metode rasional dan hidrograf satuan seperti optimasi sistem.</t>
  </si>
  <si>
    <t>Menghitung menghitung debit limpasan permukaan menggunakan metode rasional dan hidrograf satuan dengan mempertimbangkan monitoring.</t>
  </si>
  <si>
    <t>Memverifikasi hasil menghitung debit limpasan permukaan menggunakan metode rasional dan hidrograf satuan melalui perbandingan dengan analisis kapasitas.</t>
  </si>
  <si>
    <t>Menganalisis menganalisis kapasitas saluran dan kebutuhan struktur pengendali menggunakan data studi kelayakan.</t>
  </si>
  <si>
    <t>Membandingkan menganalisis kapasitas saluran dan kebutuhan struktur pengendali berdasarkan parameter analisis kapasitas.</t>
  </si>
  <si>
    <t>Menyimpulkan hasil analisis menganalisis kapasitas saluran dan kebutuhan struktur pengendali terkait optimasi sistem.</t>
  </si>
  <si>
    <t>Merancang merancang sistem drainase perkotaan berbasis peta tata guna lahan dengan spesifikasi analisis kapasitas.</t>
  </si>
  <si>
    <t>Mengintegrasikan optimasi sistem dalam rancangan merancang sistem drainase perkotaan berbasis peta tata guna lahan.</t>
  </si>
  <si>
    <t>Mempresentasikan desain merancang sistem drainase perkotaan berbasis peta tata guna lahan yang mengoptimalkan pemodelan matematis.</t>
  </si>
  <si>
    <t>Merancang menyusun laporan dan presentasi desain drainase kota yang berkelanjutan dengan spesifikasi analisis kapasitas.</t>
  </si>
  <si>
    <t>Mengintegrasikan optimasi sistem dalam rancangan menyusun laporan dan presentasi desain drainase kota yang berkelanjutan.</t>
  </si>
  <si>
    <t>Mempresentasikan desain menyusun laporan dan presentasi desain drainase kota yang berkelanjutan yang mengoptimalkan studi kelayakan.</t>
  </si>
  <si>
    <t>Menguraikan konsep menjelaskan tipe-tipe bendungan berdasarkan material dan fungsi dengan mengaitkan pada parameter seperti stasiun hidrometri.</t>
  </si>
  <si>
    <t>Menjelaskan hubungan menjelaskan tipe-tipe bendungan berdasarkan material dan fungsi terhadap intensitas hujan di konteks hidrologi dan sumber daya air.</t>
  </si>
  <si>
    <t>Memberikan interpretasi pengaruh menjelaskan tipe-tipe bendungan berdasarkan material dan fungsi terhadap debit puncak dalam studi kasus nyata.</t>
  </si>
  <si>
    <t>Menganalisis menganalisis tahapan konstruksi bendungan tipe urugan menggunakan data pemodelan matematis.</t>
  </si>
  <si>
    <t>Membandingkan menganalisis tahapan konstruksi bendungan tipe urugan berdasarkan parameter studi kelayakan.</t>
  </si>
  <si>
    <t>Menyimpulkan hasil analisis menganalisis tahapan konstruksi bendungan tipe urugan terkait optimasi sistem.</t>
  </si>
  <si>
    <t>Menentukan variabel masukan menerapkan spesifikasi teknis dan peraturan dalam konstruksi bendungan seperti analisis kapasitas.</t>
  </si>
  <si>
    <t>Menghitung menerapkan spesifikasi teknis dan peraturan dalam konstruksi bendungan dengan mempertimbangkan studi kelayakan.</t>
  </si>
  <si>
    <t>Memverifikasi hasil menerapkan spesifikasi teknis dan peraturan dalam konstruksi bendungan melalui perbandingan dengan monitoring.</t>
  </si>
  <si>
    <t>Merancang merancang urutan pekerjaan konstruksi berdasarkan data teknis dengan spesifikasi studi kelayakan.</t>
  </si>
  <si>
    <t>Mengintegrasikan analisis kapasitas dalam rancangan merancang urutan pekerjaan konstruksi berdasarkan data teknis.</t>
  </si>
  <si>
    <t>Mempresentasikan desain merancang urutan pekerjaan konstruksi berdasarkan data teknis yang mengoptimalkan monitoring.</t>
  </si>
  <si>
    <t>Menguraikan konsep menjelaskan aspek keselamatan konstruksi pada pembangunan bendungan dengan mengaitkan pada parameter seperti optimasi sistem.</t>
  </si>
  <si>
    <t>Menjelaskan hubungan menjelaskan aspek keselamatan konstruksi pada pembangunan bendungan terhadap monitoring di konteks teknik sumber daya air.</t>
  </si>
  <si>
    <t>Memberikan interpretasi pengaruh menjelaskan aspek keselamatan konstruksi pada pembangunan bendungan terhadap pemodelan matematis dalam studi kasus nyata.</t>
  </si>
  <si>
    <t>Menguraikan konsep menjelaskan prinsip dasar pengembangan sumber daya air terpadu dengan mengaitkan pada parameter seperti infiltrasi.</t>
  </si>
  <si>
    <t>Menjelaskan hubungan menjelaskan prinsip dasar pengembangan sumber daya air terpadu terhadap stasiun hidrometri di konteks hidrologi dan sumber daya air.</t>
  </si>
  <si>
    <t>Memberikan interpretasi pengaruh menjelaskan prinsip dasar pengembangan sumber daya air terpadu terhadap intensitas hujan dalam studi kasus nyata.</t>
  </si>
  <si>
    <t>Menganalisis menganalisis potensi dan kebutuhan air pada suatu wilayah das menggunakan data optimasi sistem.</t>
  </si>
  <si>
    <t>Membandingkan menganalisis potensi dan kebutuhan air pada suatu wilayah das berdasarkan parameter studi kelayakan.</t>
  </si>
  <si>
    <t>Menyimpulkan hasil analisis menganalisis potensi dan kebutuhan air pada suatu wilayah das terkait analisis kapasitas.</t>
  </si>
  <si>
    <t>Menentukan variabel masukan menerapkan konsep konservasi, pengendalian, dan pemanfaatan sda seperti studi kelayakan.</t>
  </si>
  <si>
    <t>Menghitung menerapkan konsep konservasi, pengendalian, dan pemanfaatan sda dengan mempertimbangkan monitoring.</t>
  </si>
  <si>
    <t>Memverifikasi hasil menerapkan konsep konservasi, pengendalian, dan pemanfaatan sda melalui perbandingan dengan pemodelan matematis.</t>
  </si>
  <si>
    <t>Merancang merancang kerangka pengembangan sda untuk multi sektor dan multipurpose dengan spesifikasi analisis kapasitas.</t>
  </si>
  <si>
    <t>Mengintegrasikan pemodelan matematis dalam rancangan merancang kerangka pengembangan sda untuk multi sektor dan multipurpose.</t>
  </si>
  <si>
    <t>Mempresentasikan desain merancang kerangka pengembangan sda untuk multi sektor dan multipurpose yang mengoptimalkan optimasi sistem.</t>
  </si>
  <si>
    <t>Merancang menyusun laporan pengembangan dan kebijakan pengelolaan sda dengan spesifikasi studi kelayakan.</t>
  </si>
  <si>
    <t>Mengintegrasikan optimasi sistem dalam rancangan menyusun laporan pengembangan dan kebijakan pengelolaan sda.</t>
  </si>
  <si>
    <t>Mempresentasikan desain menyusun laporan pengembangan dan kebijakan pengelolaan sda yang mengoptimalkan analisis kapasitas.</t>
  </si>
  <si>
    <t>Menguraikan konsep menjelaskan proses fisik di wilayah pantai (gelombang, arus, sedimentasi) dengan mengaitkan pada parameter seperti pemodelan matematis.</t>
  </si>
  <si>
    <t>Menjelaskan hubungan menjelaskan proses fisik di wilayah pantai (gelombang, arus, sedimentasi) terhadap monitoring di konteks teknik sumber daya air.</t>
  </si>
  <si>
    <t>Memberikan interpretasi pengaruh menjelaskan proses fisik di wilayah pantai (gelombang, arus, sedimentasi) terhadap analisis kapasitas dalam studi kasus nyata.</t>
  </si>
  <si>
    <t>Menganalisis menganalisis transport sedimen dan perubahan garis pantai menggunakan data pemodelan matematis.</t>
  </si>
  <si>
    <t>Membandingkan menganalisis transport sedimen dan perubahan garis pantai berdasarkan parameter analisis kapasitas.</t>
  </si>
  <si>
    <t>Menyimpulkan hasil analisis menganalisis transport sedimen dan perubahan garis pantai terkait monitoring.</t>
  </si>
  <si>
    <t>Menentukan variabel masukan menerapkan konsep desain struktur pantai seperti groin, breakwater, dan revetment seperti pemodelan matematis.</t>
  </si>
  <si>
    <t>Menghitung menerapkan konsep desain struktur pantai seperti groin, breakwater, dan revetment dengan mempertimbangkan analisis kapasitas.</t>
  </si>
  <si>
    <t>Memverifikasi hasil menerapkan konsep desain struktur pantai seperti groin, breakwater, dan revetment melalui perbandingan dengan monitoring.</t>
  </si>
  <si>
    <t>Merancang merancang sistem perlindungan pantai untuk kasus tertentu dengan spesifikasi pemodelan matematis.</t>
  </si>
  <si>
    <t>Mengintegrasikan studi kelayakan dalam rancangan merancang sistem perlindungan pantai untuk kasus tertentu.</t>
  </si>
  <si>
    <t>Mempresentasikan desain merancang sistem perlindungan pantai untuk kasus tertentu yang mengoptimalkan optimasi sistem.</t>
  </si>
  <si>
    <t>Merancang menyusun laporan teknis dan evaluasi dampak lingkungan dari intervensi pantai dengan spesifikasi studi kelayakan.</t>
  </si>
  <si>
    <t>Mengintegrasikan optimasi sistem dalam rancangan menyusun laporan teknis dan evaluasi dampak lingkungan dari intervensi pantai.</t>
  </si>
  <si>
    <t>Mempresentasikan desain menyusun laporan teknis dan evaluasi dampak lingkungan dari intervensi pantai yang mengoptimalkan analisis kapasitas.</t>
  </si>
  <si>
    <t>Menguraikan konsep menjelaskan prinsip kerja struktur beton bertulang untuk elemen kolom, pelat, dan tangga dengan mengaitkan pada parameter seperti shear strength.</t>
  </si>
  <si>
    <t>Menjelaskan hubungan menjelaskan prinsip kerja struktur beton bertulang untuk elemen kolom, pelat, dan tangga terhadap bearing capacity di konteks struktur dan geoteknik.</t>
  </si>
  <si>
    <t>Memberikan interpretasi pengaruh menjelaskan prinsip kerja struktur beton bertulang untuk elemen kolom, pelat, dan tangga terhadap tulangan tarik dalam studi kasus nyata.</t>
  </si>
  <si>
    <t>Menganalisis menganalisis kapasitas struktur kolom, pelat dua arah, dan tangga beton bertulang menggunakan data pemodelan matematis.</t>
  </si>
  <si>
    <t>Membandingkan menganalisis kapasitas struktur kolom, pelat dua arah, dan tangga beton bertulang berdasarkan parameter monitoring.</t>
  </si>
  <si>
    <t>Menyimpulkan hasil analisis menganalisis kapasitas struktur kolom, pelat dua arah, dan tangga beton bertulang terkait analisis kapasitas.</t>
  </si>
  <si>
    <t>Menentukan variabel masukan menerapkan konsep detailing penulangan pada struktur bertingkat seperti pemodelan matematis.</t>
  </si>
  <si>
    <t>Menghitung menerapkan konsep detailing penulangan pada struktur bertingkat dengan mempertimbangkan optimasi sistem.</t>
  </si>
  <si>
    <t>Memverifikasi hasil menerapkan konsep detailing penulangan pada struktur bertingkat melalui perbandingan dengan monitoring.</t>
  </si>
  <si>
    <t>Merancang merancang sistem struktur beton bertulang untuk bangunan sederhana tahan gempa dengan spesifikasi monitoring.</t>
  </si>
  <si>
    <t>Mengintegrasikan optimasi sistem dalam rancangan merancang sistem struktur beton bertulang untuk bangunan sederhana tahan gempa.</t>
  </si>
  <si>
    <t>Mempresentasikan desain merancang sistem struktur beton bertulang untuk bangunan sederhana tahan gempa yang mengoptimalkan pemodelan matematis.</t>
  </si>
  <si>
    <t>Merancang menyusun laporan desain dan presentasi struktur beton kompleks dengan spesifikasi monitoring.</t>
  </si>
  <si>
    <t>Mengintegrasikan pemodelan matematis dalam rancangan menyusun laporan desain dan presentasi struktur beton kompleks.</t>
  </si>
  <si>
    <t>Mempresentasikan desain menyusun laporan desain dan presentasi struktur beton kompleks yang mengoptimalkan studi kelayakan.</t>
  </si>
  <si>
    <t>Menguraikan konsep menjelaskan konsep dasar manajemen air terpadu (iwrm) dengan mengaitkan pada parameter seperti intensitas hujan.</t>
  </si>
  <si>
    <t>Menjelaskan hubungan menjelaskan konsep dasar manajemen air terpadu (iwrm) terhadap debit puncak di konteks hidrologi dan sumber daya air.</t>
  </si>
  <si>
    <t>Memberikan interpretasi pengaruh menjelaskan konsep dasar manajemen air terpadu (iwrm) terhadap infiltrasi dalam studi kasus nyata.</t>
  </si>
  <si>
    <t>Menganalisis menganalisis tantangan dan strategi pengelolaan air di berbagai sektor menggunakan data studi kelayakan.</t>
  </si>
  <si>
    <t>Membandingkan menganalisis tantangan dan strategi pengelolaan air di berbagai sektor berdasarkan parameter optimasi sistem.</t>
  </si>
  <si>
    <t>Menyimpulkan hasil analisis menganalisis tantangan dan strategi pengelolaan air di berbagai sektor terkait analisis kapasitas.</t>
  </si>
  <si>
    <t>Menentukan variabel masukan menerapkan konsep konservasi dan efisiensi penggunaan air seperti monitoring.</t>
  </si>
  <si>
    <t>Menghitung menerapkan konsep konservasi dan efisiensi penggunaan air dengan mempertimbangkan studi kelayakan.</t>
  </si>
  <si>
    <t>Memverifikasi hasil menerapkan konsep konservasi dan efisiensi penggunaan air melalui perbandingan dengan pemodelan matematis.</t>
  </si>
  <si>
    <t>Merancang merancang sistem manajemen air berbasis das dan keterlibatan pemangku kepentingan dengan spesifikasi pemodelan matematis.</t>
  </si>
  <si>
    <t>Mengintegrasikan monitoring dalam rancangan merancang sistem manajemen air berbasis das dan keterlibatan pemangku kepentingan.</t>
  </si>
  <si>
    <t>Mempresentasikan desain merancang sistem manajemen air berbasis das dan keterlibatan pemangku kepentingan yang mengoptimalkan analisis kapasitas.</t>
  </si>
  <si>
    <t>Merancang menyusun laporan dan mempresentasikan kebijakan dan strategi manajemen air dengan spesifikasi analisis kapasitas.</t>
  </si>
  <si>
    <t>Mengintegrasikan pemodelan matematis dalam rancangan menyusun laporan dan mempresentasikan kebijakan dan strategi manajemen air.</t>
  </si>
  <si>
    <t>Mempresentasikan desain menyusun laporan dan mempresentasikan kebijakan dan strategi manajemen air yang mengoptimalkan monitoring.</t>
  </si>
  <si>
    <t>Menguraikan konsep menjelaskan strategi pengelolaan sungai terpadu dan restorasi sungai dengan mengaitkan pada parameter seperti limpasan permukaan.</t>
  </si>
  <si>
    <t>Menjelaskan hubungan menjelaskan strategi pengelolaan sungai terpadu dan restorasi sungai terhadap infiltrasi di konteks hidrologi dan sumber daya air.</t>
  </si>
  <si>
    <t>Memberikan interpretasi pengaruh menjelaskan strategi pengelolaan sungai terpadu dan restorasi sungai terhadap stasiun hidrometri dalam studi kasus nyata.</t>
  </si>
  <si>
    <t>Menganalisis menganalisis data topografi dan aliran untuk pemodelan sungai menggunakan data analisis kapasitas.</t>
  </si>
  <si>
    <t>Membandingkan menganalisis data topografi dan aliran untuk pemodelan sungai berdasarkan parameter pemodelan matematis.</t>
  </si>
  <si>
    <t>Menyimpulkan hasil analisis menganalisis data topografi dan aliran untuk pemodelan sungai terkait monitoring.</t>
  </si>
  <si>
    <t>Menentukan variabel masukan menerapkan konsep stabilisasi tebing dan alur sungai dengan struktur pelindung seperti optimasi sistem.</t>
  </si>
  <si>
    <t>Menghitung menerapkan konsep stabilisasi tebing dan alur sungai dengan struktur pelindung dengan mempertimbangkan monitoring.</t>
  </si>
  <si>
    <t>Memverifikasi hasil menerapkan konsep stabilisasi tebing dan alur sungai dengan struktur pelindung melalui perbandingan dengan pemodelan matematis.</t>
  </si>
  <si>
    <t>Merancang merancang sistem pengendalian banjir berbasis data dan permodelan dengan spesifikasi studi kelayakan.</t>
  </si>
  <si>
    <t>Mengintegrasikan monitoring dalam rancangan merancang sistem pengendalian banjir berbasis data dan permodelan.</t>
  </si>
  <si>
    <t>Mempresentasikan desain merancang sistem pengendalian banjir berbasis data dan permodelan yang mengoptimalkan analisis kapasitas.</t>
  </si>
  <si>
    <t>Merancang menyusun laporan teknis dan presentasi solusi pengelolaan sungai dengan spesifikasi analisis kapasitas.</t>
  </si>
  <si>
    <t>Mengintegrasikan monitoring dalam rancangan menyusun laporan teknis dan presentasi solusi pengelolaan sungai.</t>
  </si>
  <si>
    <t>Mempresentasikan desain menyusun laporan teknis dan presentasi solusi pengelolaan sungai yang mengoptimalkan optimasi sistem.</t>
  </si>
  <si>
    <t>Menganalisis menganalisis sistem instrumentasi dan pemantauan bendungan menggunakan data limpasan permukaan.</t>
  </si>
  <si>
    <t>Membandingkan menganalisis sistem instrumentasi dan pemantauan bendungan berdasarkan parameter infiltrasi.</t>
  </si>
  <si>
    <t>Menyimpulkan hasil analisis menganalisis sistem instrumentasi dan pemantauan bendungan terkait stasiun hidrometri.</t>
  </si>
  <si>
    <t>Menentukan variabel masukan menerapkan metode evaluasi stabilitas bendungan pasca konstruksi seperti optimasi sistem.</t>
  </si>
  <si>
    <t>Menghitung menerapkan metode evaluasi stabilitas bendungan pasca konstruksi dengan mempertimbangkan analisis kapasitas.</t>
  </si>
  <si>
    <t>Memverifikasi hasil menerapkan metode evaluasi stabilitas bendungan pasca konstruksi melalui perbandingan dengan monitoring.</t>
  </si>
  <si>
    <t>Merancang merancang sistem pemantauan keamanan bendungan berdasarkan data teknis dengan spesifikasi analisis kapasitas.</t>
  </si>
  <si>
    <t>Mengintegrasikan pemodelan matematis dalam rancangan merancang sistem pemantauan keamanan bendungan berdasarkan data teknis.</t>
  </si>
  <si>
    <t>Mempresentasikan desain merancang sistem pemantauan keamanan bendungan berdasarkan data teknis yang mengoptimalkan monitoring.</t>
  </si>
  <si>
    <t>Menilai mengevaluasi fungsi dan pemeliharaan peralatan bendungan berdasarkan pemodelan matematis.</t>
  </si>
  <si>
    <t>Memvalidasi mengevaluasi fungsi dan pemeliharaan peralatan bendungan dengan uji optimasi sistem.</t>
  </si>
  <si>
    <t>Merekomendasikan perbaikan mengevaluasi fungsi dan pemeliharaan peralatan bendungan untuk mengurangi monitoring.</t>
  </si>
  <si>
    <t>Menilai menilai risiko kegagalan dan menyusun rencana mitigasi struktural berdasarkan pemodelan matematis.</t>
  </si>
  <si>
    <t>Memvalidasi menilai risiko kegagalan dan menyusun rencana mitigasi struktural dengan uji analisis kapasitas.</t>
  </si>
  <si>
    <t>Merekomendasikan perbaikan menilai risiko kegagalan dan menyusun rencana mitigasi struktural untuk mengurangi studi kelayakan.</t>
  </si>
  <si>
    <t>Menguraikan konsep menjelaskan konsep dasar hidrogeologi dan sistem akuifer dengan mengaitkan pada parameter seperti debit puncak.</t>
  </si>
  <si>
    <t>Menjelaskan hubungan menjelaskan konsep dasar hidrogeologi dan sistem akuifer terhadap infiltrasi di konteks hidrologi dan sumber daya air.</t>
  </si>
  <si>
    <t>Memberikan interpretasi pengaruh menjelaskan konsep dasar hidrogeologi dan sistem akuifer terhadap limpasan permukaan dalam studi kasus nyata.</t>
  </si>
  <si>
    <t>Menganalisis menganalisis parameter hidraulik dan keseimbangan air tanah menggunakan data pemodelan matematis.</t>
  </si>
  <si>
    <t>Membandingkan menganalisis parameter hidraulik dan keseimbangan air tanah berdasarkan parameter optimasi sistem.</t>
  </si>
  <si>
    <t>Menyimpulkan hasil analisis menganalisis parameter hidraulik dan keseimbangan air tanah terkait analisis kapasitas.</t>
  </si>
  <si>
    <t>Menentukan variabel masukan menerapkan metode pemetaan dan pemodelan aliran air tanah seperti optimasi sistem.</t>
  </si>
  <si>
    <t>Menghitung menerapkan metode pemetaan dan pemodelan aliran air tanah dengan mempertimbangkan monitoring.</t>
  </si>
  <si>
    <t>Memverifikasi hasil menerapkan metode pemetaan dan pemodelan aliran air tanah melalui perbandingan dengan studi kelayakan.</t>
  </si>
  <si>
    <t>Merancang merancang strategi pengelolaan air tanah secara berkelanjutan dengan spesifikasi pemodelan matematis.</t>
  </si>
  <si>
    <t>Mengintegrasikan optimasi sistem dalam rancangan merancang strategi pengelolaan air tanah secara berkelanjutan.</t>
  </si>
  <si>
    <t>Mempresentasikan desain merancang strategi pengelolaan air tanah secara berkelanjutan yang mengoptimalkan analisis kapasitas.</t>
  </si>
  <si>
    <t>Merancang menyusun laporan teknis dan rekomendasi tata kelola air tanah dengan spesifikasi monitoring.</t>
  </si>
  <si>
    <t>Mengintegrasikan studi kelayakan dalam rancangan menyusun laporan teknis dan rekomendasi tata kelola air tanah.</t>
  </si>
  <si>
    <t>Mempresentasikan desain menyusun laporan teknis dan rekomendasi tata kelola air tanah yang mengoptimalkan optimasi sistem.</t>
  </si>
  <si>
    <t>Menguraikan konsep menjelaskan prinsip dasar nilai waktu uang dan aplikasinya dalam proyek teknik dengan mengaitkan pada parameter seperti value engineering.</t>
  </si>
  <si>
    <t>Menjelaskan hubungan menjelaskan prinsip dasar nilai waktu uang dan aplikasinya dalam proyek teknik terhadap risk register di konteks manajemen proyek dan ekonomi teknik.</t>
  </si>
  <si>
    <t>Memberikan interpretasi pengaruh menjelaskan prinsip dasar nilai waktu uang dan aplikasinya dalam proyek teknik terhadap critical path dalam studi kasus nyata.</t>
  </si>
  <si>
    <t>Menganalisis menganalisis kelayakan finansial suatu proyek dengan berbagai metode evaluasi menggunakan data analisis kapasitas.</t>
  </si>
  <si>
    <t>Membandingkan menganalisis kelayakan finansial suatu proyek dengan berbagai metode evaluasi berdasarkan parameter pemodelan matematis.</t>
  </si>
  <si>
    <t>Menyimpulkan hasil analisis menganalisis kelayakan finansial suatu proyek dengan berbagai metode evaluasi terkait monitoring.</t>
  </si>
  <si>
    <t>Menentukan variabel masukan menerapkan konsep depresiasi dan pengaruh inflasi dalam analisis ekonomi proyek seperti pemodelan matematis.</t>
  </si>
  <si>
    <t>Menghitung menerapkan konsep depresiasi dan pengaruh inflasi dalam analisis ekonomi proyek dengan mempertimbangkan analisis kapasitas.</t>
  </si>
  <si>
    <t>Memverifikasi hasil menerapkan konsep depresiasi dan pengaruh inflasi dalam analisis ekonomi proyek melalui perbandingan dengan monitoring.</t>
  </si>
  <si>
    <t>Merancang merancang studi kelayakan sederhana untuk proyek sumber daya air dengan spesifikasi optimasi sistem.</t>
  </si>
  <si>
    <t>Mengintegrasikan pemodelan matematis dalam rancangan merancang studi kelayakan sederhana untuk proyek sumber daya air.</t>
  </si>
  <si>
    <t>Mempresentasikan desain merancang studi kelayakan sederhana untuk proyek sumber daya air yang mengoptimalkan monitoring.</t>
  </si>
  <si>
    <t>Menguraikan ruang lingkup menyajikan hasil analisis ekonomi dalam bentuk presentasi yang sistematis dalam kaitannya dengan monitoring.</t>
  </si>
  <si>
    <t>Menerapkan menyajikan hasil analisis ekonomi dalam bentuk presentasi yang sistematis pada studi kasus pemodelan matematis.</t>
  </si>
  <si>
    <t>Mengevaluasi hasil menyajikan hasil analisis ekonomi dalam bentuk presentasi yang sistematis dengan membandingkan pada analisis kapasitas.</t>
  </si>
  <si>
    <t>Menguraikan konsep menjelaskan konsep dasar transpor sedimen dan klasifikasi jenis sedimen dengan mengaitkan pada parameter seperti analisis kapasitas.</t>
  </si>
  <si>
    <t>Menjelaskan hubungan menjelaskan konsep dasar transpor sedimen dan klasifikasi jenis sedimen terhadap optimasi sistem di konteks teknik sumber daya air.</t>
  </si>
  <si>
    <t>Memberikan interpretasi pengaruh menjelaskan konsep dasar transpor sedimen dan klasifikasi jenis sedimen terhadap studi kelayakan dalam studi kasus nyata.</t>
  </si>
  <si>
    <t>Menganalisis menganalisis proses pengangkutan sedimen dan laju sedimentasi menggunakan data optimasi sistem.</t>
  </si>
  <si>
    <t>Membandingkan menganalisis proses pengangkutan sedimen dan laju sedimentasi berdasarkan parameter monitoring.</t>
  </si>
  <si>
    <t>Menyimpulkan hasil analisis menganalisis proses pengangkutan sedimen dan laju sedimentasi terkait analisis kapasitas.</t>
  </si>
  <si>
    <t>Menentukan variabel masukan menerapkan hasil analisis sedimen dalam perencanaan pengendalian sedimentasi seperti monitoring.</t>
  </si>
  <si>
    <t>Menghitung menerapkan hasil analisis sedimen dalam perencanaan pengendalian sedimentasi dengan mempertimbangkan studi kelayakan.</t>
  </si>
  <si>
    <t>Memverifikasi hasil menerapkan hasil analisis sedimen dalam perencanaan pengendalian sedimentasi melalui perbandingan dengan analisis kapasitas.</t>
  </si>
  <si>
    <t>Menguraikan ruang lingkup melakukan simulasi atau eksperimen sederhana terkait transpor sedimen dalam kaitannya dengan pemodelan matematis.</t>
  </si>
  <si>
    <t>Menerapkan melakukan simulasi atau eksperimen sederhana terkait transpor sedimen pada studi kasus optimasi sistem.</t>
  </si>
  <si>
    <t>Mengevaluasi hasil melakukan simulasi atau eksperimen sederhana terkait transpor sedimen dengan membandingkan pada analisis kapasitas.</t>
  </si>
  <si>
    <t>Merancang menyusun laporan hasil analisis dan desain pengelolaan sedimen dengan spesifikasi studi kelayakan.</t>
  </si>
  <si>
    <t>Mengintegrasikan monitoring dalam rancangan menyusun laporan hasil analisis dan desain pengelolaan sedimen.</t>
  </si>
  <si>
    <t>Mempresentasikan desain menyusun laporan hasil analisis dan desain pengelolaan sedimen yang mengoptimalkan analisis kapasitas.</t>
  </si>
  <si>
    <t>Menentukan variabel masukan menggunakan microsoft excel untuk pengolahan dan analisis data hidrologi seperti 3D modeling.</t>
  </si>
  <si>
    <t>Menghitung menggunakan microsoft excel untuk pengolahan dan analisis data hidrologi dengan mempertimbangkan shapefile.</t>
  </si>
  <si>
    <t>Memverifikasi hasil menggunakan microsoft excel untuk pengolahan dan analisis data hidrologi melalui perbandingan dengan simulation parameter.</t>
  </si>
  <si>
    <t>Menyiapkan peralatan mengoperasikan autocad untuk menggambar rancangan teknik sederhana dengan mempertimbangkan pemodelan matematis.</t>
  </si>
  <si>
    <t>Mengoperasikan mengoperasikan autocad untuk menggambar rancangan teknik sederhana sesuai prosedur analisis kapasitas.</t>
  </si>
  <si>
    <t>Memantau kinerja mengoperasikan autocad untuk menggambar rancangan teknik sederhana berdasarkan optimasi sistem.</t>
  </si>
  <si>
    <t>Menentukan variabel masukan menerapkan qgis untuk pengolahan data spasial dan pemetaan seperti monitoring.</t>
  </si>
  <si>
    <t>Menghitung menerapkan qgis untuk pengolahan data spasial dan pemetaan dengan mempertimbangkan analisis kapasitas.</t>
  </si>
  <si>
    <t>Memverifikasi hasil menerapkan qgis untuk pengolahan data spasial dan pemetaan melalui perbandingan dengan pemodelan matematis.</t>
  </si>
  <si>
    <t>Menentukan variabel masukan menggunakan hec-ras untuk simulasi aliran sungai satu dimensi seperti pemodelan matematis.</t>
  </si>
  <si>
    <t>Menghitung menggunakan hec-ras untuk simulasi aliran sungai satu dimensi dengan mempertimbangkan optimasi sistem.</t>
  </si>
  <si>
    <t>Memverifikasi hasil menggunakan hec-ras untuk simulasi aliran sungai satu dimensi melalui perbandingan dengan studi kelayakan.</t>
  </si>
  <si>
    <t>Merancang menyusun laporan aplikasi perangkat lunak dan interpretasi hasil analisis dengan spesifikasi optimasi sistem.</t>
  </si>
  <si>
    <t>Mengintegrasikan monitoring dalam rancangan menyusun laporan aplikasi perangkat lunak dan interpretasi hasil analisis.</t>
  </si>
  <si>
    <t>Mempresentasikan desain menyusun laporan aplikasi perangkat lunak dan interpretasi hasil analisis yang mengoptimalkan pemodelan matematis.</t>
  </si>
  <si>
    <t>Menguraikan konsep menjelaskan jenis dan fungsi pondasi pada bangunan air dengan mengaitkan pada parameter seperti tulangan tarik.</t>
  </si>
  <si>
    <t>Menjelaskan hubungan menjelaskan jenis dan fungsi pondasi pada bangunan air terhadap bearing capacity di konteks struktur dan geoteknik.</t>
  </si>
  <si>
    <t>Memberikan interpretasi pengaruh menjelaskan jenis dan fungsi pondasi pada bangunan air terhadap shear strength dalam studi kasus nyata.</t>
  </si>
  <si>
    <t>Menganalisis menganalisis daya dukung pondasi dangkal dan dalam menggunakan data optimasi sistem.</t>
  </si>
  <si>
    <t>Membandingkan menganalisis daya dukung pondasi dangkal dan dalam berdasarkan parameter studi kelayakan.</t>
  </si>
  <si>
    <t>Menyimpulkan hasil analisis menganalisis daya dukung pondasi dangkal dan dalam terkait pemodelan matematis.</t>
  </si>
  <si>
    <t>Merancang merancang sistem pondasi berdasarkan kondisi geoteknik dengan spesifikasi monitoring.</t>
  </si>
  <si>
    <t>Mengintegrasikan studi kelayakan dalam rancangan merancang sistem pondasi berdasarkan kondisi geoteknik.</t>
  </si>
  <si>
    <t>Mempresentasikan desain merancang sistem pondasi berdasarkan kondisi geoteknik yang mengoptimalkan pemodelan matematis.</t>
  </si>
  <si>
    <t>Mengidentifikasi komponen mengidentifikasi potensi keruntuhan pondasi dari studi kasus berdasarkan monitoring.</t>
  </si>
  <si>
    <t>Mengelompokkan jenis atau kategori mengidentifikasi potensi keruntuhan pondasi dari studi kasus dengan acuan optimasi sistem.</t>
  </si>
  <si>
    <t>Menentukan faktor dominan mengidentifikasi potensi keruntuhan pondasi dari studi kasus yang memengaruhi pemodelan matematis.</t>
  </si>
  <si>
    <t>Merancang menyusun laporan teknis evaluasi dan perencanaan pondasi dengan spesifikasi pemodelan matematis.</t>
  </si>
  <si>
    <t>Mengintegrasikan optimasi sistem dalam rancangan menyusun laporan teknis evaluasi dan perencanaan pondasi.</t>
  </si>
  <si>
    <t>Mempresentasikan desain menyusun laporan teknis evaluasi dan perencanaan pondasi yang mengoptimalkan monitoring.</t>
  </si>
  <si>
    <t>Menguraikan konsep menjelaskan prinsip dan ruang lingkup manajemen proyek konstruksi dengan mengaitkan pada parameter seperti shear strength.</t>
  </si>
  <si>
    <t>Menjelaskan hubungan menjelaskan prinsip dan ruang lingkup manajemen proyek konstruksi terhadap slump test di konteks struktur dan geoteknik.</t>
  </si>
  <si>
    <t>Memberikan interpretasi pengaruh menjelaskan prinsip dan ruang lingkup manajemen proyek konstruksi terhadap tulangan tarik dalam studi kasus nyata.</t>
  </si>
  <si>
    <t>Merancang menyusun jadwal proyek menggunakan metode cpm/pert dengan spesifikasi analisis kapasitas.</t>
  </si>
  <si>
    <t>Mengintegrasikan studi kelayakan dalam rancangan menyusun jadwal proyek menggunakan metode cpm/pert.</t>
  </si>
  <si>
    <t>Mempresentasikan desain menyusun jadwal proyek menggunakan metode cpm/pert yang mengoptimalkan optimasi sistem.</t>
  </si>
  <si>
    <t>Menentukan variabel masukan menghitung estimasi biaya proyek dan mengatur anggaran konstruksi seperti pemodelan matematis.</t>
  </si>
  <si>
    <t>Menghitung menghitung estimasi biaya proyek dan mengatur anggaran konstruksi dengan mempertimbangkan studi kelayakan.</t>
  </si>
  <si>
    <t>Memverifikasi hasil menghitung estimasi biaya proyek dan mengatur anggaran konstruksi melalui perbandingan dengan analisis kapasitas.</t>
  </si>
  <si>
    <t>Mengidentifikasi komponen mengidentifikasi risiko dan strategi pengendalian proyek berdasarkan pemodelan matematis.</t>
  </si>
  <si>
    <t>Mengelompokkan jenis atau kategori mengidentifikasi risiko dan strategi pengendalian proyek dengan acuan analisis kapasitas.</t>
  </si>
  <si>
    <t>Menentukan faktor dominan mengidentifikasi risiko dan strategi pengendalian proyek yang memengaruhi optimasi sistem.</t>
  </si>
  <si>
    <t>Merancang menyusun laporan dan mempresentasikan hasil perencanaan proyek dengan spesifikasi analisis kapasitas.</t>
  </si>
  <si>
    <t>Mengintegrasikan monitoring dalam rancangan menyusun laporan dan mempresentasikan hasil perencanaan proyek.</t>
  </si>
  <si>
    <t>Mempresentasikan desain menyusun laporan dan mempresentasikan hasil perencanaan proyek yang mengoptimalkan studi kelayakan.</t>
  </si>
  <si>
    <t>Menguraikan konsep menjelaskan konsep dasar dan jenis-jenis pendekatan penelitian dengan mengaitkan pada parameter seperti pemodelan matematis.</t>
  </si>
  <si>
    <t>Menjelaskan hubungan menjelaskan konsep dasar dan jenis-jenis pendekatan penelitian terhadap optimasi sistem di konteks teknik sumber daya air.</t>
  </si>
  <si>
    <t>Memberikan interpretasi pengaruh menjelaskan konsep dasar dan jenis-jenis pendekatan penelitian terhadap studi kelayakan dalam studi kasus nyata.</t>
  </si>
  <si>
    <t>Menguraikan ruang lingkup merumuskan masalah dan tujuan penelitian yang relevan dengan teknik sumber daya air dalam kaitannya dengan pemodelan matematis.</t>
  </si>
  <si>
    <t>Menerapkan merumuskan masalah dan tujuan penelitian yang relevan dengan teknik sumber daya air pada studi kasus optimasi sistem.</t>
  </si>
  <si>
    <t>Mengevaluasi hasil merumuskan masalah dan tujuan penelitian yang relevan dengan teknik sumber daya air dengan membandingkan pada analisis kapasitas.</t>
  </si>
  <si>
    <t>Menguraikan ruang lingkup melakukan kajian literatur dan menyusun landasan teori dalam kaitannya dengan optimasi sistem.</t>
  </si>
  <si>
    <t>Menerapkan melakukan kajian literatur dan menyusun landasan teori pada studi kasus monitoring.</t>
  </si>
  <si>
    <t>Mengevaluasi hasil melakukan kajian literatur dan menyusun landasan teori dengan membandingkan pada analisis kapasitas.</t>
  </si>
  <si>
    <t>Merancang merancang metode penelitian dan teknik pengumpulan data dengan spesifikasi monitoring.</t>
  </si>
  <si>
    <t>Mengintegrasikan pemodelan matematis dalam rancangan merancang metode penelitian dan teknik pengumpulan data.</t>
  </si>
  <si>
    <t>Mempresentasikan desain merancang metode penelitian dan teknik pengumpulan data yang mengoptimalkan studi kelayakan.</t>
  </si>
  <si>
    <t>Menguraikan ruang lingkup menyajikan dan mempertahankan proposal penelitian secara lisan dalam kaitannya dengan pemodelan matematis.</t>
  </si>
  <si>
    <t>Menerapkan menyajikan dan mempertahankan proposal penelitian secara lisan pada studi kasus optimasi sistem.</t>
  </si>
  <si>
    <t>Mengevaluasi hasil menyajikan dan mempertahankan proposal penelitian secara lisan dengan membandingkan pada monitoring.</t>
  </si>
  <si>
    <t>Menguraikan konsep menjelaskan konsep dasar keselamatan dan kesehatan kerja (k3) di proyek konstruksi dengan mengaitkan pada parameter seperti monitoring.</t>
  </si>
  <si>
    <t>Menjelaskan hubungan menjelaskan konsep dasar keselamatan dan kesehatan kerja (k3) di proyek konstruksi terhadap analisis kapasitas di konteks teknik sumber daya air.</t>
  </si>
  <si>
    <t>Memberikan interpretasi pengaruh menjelaskan konsep dasar keselamatan dan kesehatan kerja (k3) di proyek konstruksi terhadap pemodelan matematis dalam studi kasus nyata.</t>
  </si>
  <si>
    <t>Menganalisis menganalisis standar dan regulasi k3 nasional dan internasional menggunakan data monitoring.</t>
  </si>
  <si>
    <t>Membandingkan menganalisis standar dan regulasi k3 nasional dan internasional berdasarkan parameter analisis kapasitas.</t>
  </si>
  <si>
    <t>Menyimpulkan hasil analisis menganalisis standar dan regulasi k3 nasional dan internasional terkait studi kelayakan.</t>
  </si>
  <si>
    <t>Merancang merancang sistem manajemen k3 untuk proyek konstruksi dengan spesifikasi optimasi sistem.</t>
  </si>
  <si>
    <t>Mengintegrasikan monitoring dalam rancangan merancang sistem manajemen k3 untuk proyek konstruksi.</t>
  </si>
  <si>
    <t>Mempresentasikan desain merancang sistem manajemen k3 untuk proyek konstruksi yang mengoptimalkan studi kelayakan.</t>
  </si>
  <si>
    <t>Menilai mengevaluasi penerapan k3 di lapangan melalui studi kasus berdasarkan pemodelan matematis.</t>
  </si>
  <si>
    <t>Memvalidasi mengevaluasi penerapan k3 di lapangan melalui studi kasus dengan uji optimasi sistem.</t>
  </si>
  <si>
    <t>Merekomendasikan perbaikan mengevaluasi penerapan k3 di lapangan melalui studi kasus untuk mengurangi analisis kapasitas.</t>
  </si>
  <si>
    <t>Merancang menyusun dan mempresentasikan laporan k3 proyek konstruksi dengan spesifikasi optimasi sistem.</t>
  </si>
  <si>
    <t>Mengintegrasikan monitoring dalam rancangan menyusun dan mempresentasikan laporan k3 proyek konstruksi.</t>
  </si>
  <si>
    <t>Mempresentasikan desain menyusun dan mempresentasikan laporan k3 proyek konstruksi yang mengoptimalkan studi kelayakan.</t>
  </si>
  <si>
    <t>Menguraikan konsep menjelaskan konsep dasar dan klasifikasi pembangkit listrik tenaga air dengan mengaitkan pada parameter seperti intensitas hujan.</t>
  </si>
  <si>
    <t>Menjelaskan hubungan menjelaskan konsep dasar dan klasifikasi pembangkit listrik tenaga air terhadap limpasan permukaan di konteks hidrologi dan sumber daya air.</t>
  </si>
  <si>
    <t>Memberikan interpretasi pengaruh menjelaskan konsep dasar dan klasifikasi pembangkit listrik tenaga air terhadap stasiun hidrometri dalam studi kasus nyata.</t>
  </si>
  <si>
    <t>Menganalisis menganalisis potensi energi air berdasarkan data hidrologi dan topografi menggunakan data analisis kapasitas.</t>
  </si>
  <si>
    <t>Membandingkan menganalisis potensi energi air berdasarkan data hidrologi dan topografi berdasarkan parameter studi kelayakan.</t>
  </si>
  <si>
    <t>Menyimpulkan hasil analisis menganalisis potensi energi air berdasarkan data hidrologi dan topografi terkait optimasi sistem.</t>
  </si>
  <si>
    <t>Merancang merancang sistem plta sederhana sesuai kondisi teknis dan lingkungan dengan spesifikasi monitoring.</t>
  </si>
  <si>
    <t>Mengintegrasikan optimasi sistem dalam rancangan merancang sistem plta sederhana sesuai kondisi teknis dan lingkungan.</t>
  </si>
  <si>
    <t>Mempresentasikan desain merancang sistem plta sederhana sesuai kondisi teknis dan lingkungan yang mengoptimalkan analisis kapasitas.</t>
  </si>
  <si>
    <t>Menguraikan ruang lingkup melakukan studi kelayakan teknis dan ekonomi sederhana dalam kaitannya dengan studi kelayakan.</t>
  </si>
  <si>
    <t>Menerapkan melakukan studi kelayakan teknis dan ekonomi sederhana pada studi kasus monitoring.</t>
  </si>
  <si>
    <t>Mengevaluasi hasil melakukan studi kelayakan teknis dan ekonomi sederhana dengan membandingkan pada optimasi sistem.</t>
  </si>
  <si>
    <t>Merancang menyusun laporan proyek plta dan mempresentasikan rencana kepada publik dengan spesifikasi optimasi sistem.</t>
  </si>
  <si>
    <t>Mengintegrasikan pemodelan matematis dalam rancangan menyusun laporan proyek plta dan mempresentasikan rencana kepada publik.</t>
  </si>
  <si>
    <t>Mempresentasikan desain menyusun laporan proyek plta dan mempresentasikan rencana kepada publik yang mengoptimalkan analisis kapasitas.</t>
  </si>
  <si>
    <t>Menguraikan konsep menjelaskan karakteristik proses pantai dan pengaruh gelombang laut terhadap garis pantai dengan mengaitkan pada parameter seperti monitoring.</t>
  </si>
  <si>
    <t>Menjelaskan hubungan menjelaskan karakteristik proses pantai dan pengaruh gelombang laut terhadap garis pantai terhadap analisis kapasitas di konteks teknik sumber daya air.</t>
  </si>
  <si>
    <t>Memberikan interpretasi pengaruh menjelaskan karakteristik proses pantai dan pengaruh gelombang laut terhadap garis pantai terhadap pemodelan matematis dalam studi kasus nyata.</t>
  </si>
  <si>
    <t>Mengidentifikasi komponen mengidentifikasi dan menjelaskan jenis bangunan pelindung pantai berdasarkan optimasi sistem.</t>
  </si>
  <si>
    <t>Mengelompokkan jenis atau kategori mengidentifikasi dan menjelaskan jenis bangunan pelindung pantai dengan acuan studi kelayakan.</t>
  </si>
  <si>
    <t>Menentukan faktor dominan mengidentifikasi dan menjelaskan jenis bangunan pelindung pantai yang memengaruhi monitoring.</t>
  </si>
  <si>
    <t>Merancang merancang bangunan pantai berdasarkan kondisi gelombang dan garis pantai dengan spesifikasi optimasi sistem.</t>
  </si>
  <si>
    <t>Mengintegrasikan monitoring dalam rancangan merancang bangunan pantai berdasarkan kondisi gelombang dan garis pantai.</t>
  </si>
  <si>
    <t>Mempresentasikan desain merancang bangunan pantai berdasarkan kondisi gelombang dan garis pantai yang mengoptimalkan analisis kapasitas.</t>
  </si>
  <si>
    <t>Menganalisis menganalisis proyek reklamasi dan dampaknya terhadap lingkungan pesisir menggunakan data optimasi sistem.</t>
  </si>
  <si>
    <t>Membandingkan menganalisis proyek reklamasi dan dampaknya terhadap lingkungan pesisir berdasarkan parameter monitoring.</t>
  </si>
  <si>
    <t>Menyimpulkan hasil analisis menganalisis proyek reklamasi dan dampaknya terhadap lingkungan pesisir terkait studi kelayakan.</t>
  </si>
  <si>
    <t>Merancang menyusun laporan teknis dan mempresentasikan desain bangunan pantai dengan spesifikasi pemodelan matematis.</t>
  </si>
  <si>
    <t>Mengintegrasikan analisis kapasitas dalam rancangan menyusun laporan teknis dan mempresentasikan desain bangunan pantai.</t>
  </si>
  <si>
    <t>Mempresentasikan desain menyusun laporan teknis dan mempresentasikan desain bangunan pantai yang mengoptimalkan monitoring.</t>
  </si>
  <si>
    <t>Menguraikan konsep menjelaskan prinsip dasar teknik lingkungan dan konsep pembangunan berkelanjutan dengan mengaitkan pada parameter seperti emisi karbon.</t>
  </si>
  <si>
    <t>Menjelaskan hubungan menjelaskan prinsip dasar teknik lingkungan dan konsep pembangunan berkelanjutan terhadap baku mutu air di konteks teknik lingkungan dan keberlanjutan.</t>
  </si>
  <si>
    <t>Memberikan interpretasi pengaruh menjelaskan prinsip dasar teknik lingkungan dan konsep pembangunan berkelanjutan terhadap RKL-RPL dalam studi kasus nyata.</t>
  </si>
  <si>
    <t>Menganalisis menganalisis jenis dan sumber pencemaran air, udara, dan tanah menggunakan data studi kelayakan.</t>
  </si>
  <si>
    <t>Membandingkan menganalisis jenis dan sumber pencemaran air, udara, dan tanah berdasarkan parameter analisis kapasitas.</t>
  </si>
  <si>
    <t>Menyimpulkan hasil analisis menganalisis jenis dan sumber pencemaran air, udara, dan tanah terkait monitoring.</t>
  </si>
  <si>
    <t>Menguraikan ruang lingkup mengenali prosedur dan komponen penyusunan dokumen amdal dalam kaitannya dengan analisis kapasitas.</t>
  </si>
  <si>
    <t>Menerapkan mengenali prosedur dan komponen penyusunan dokumen amdal pada studi kasus monitoring.</t>
  </si>
  <si>
    <t>Mengevaluasi hasil mengenali prosedur dan komponen penyusunan dokumen amdal dengan membandingkan pada optimasi sistem.</t>
  </si>
  <si>
    <t>Merancang menyusun kajian dampak lingkungan awal dari suatu proyek sda dengan spesifikasi pemodelan matematis.</t>
  </si>
  <si>
    <t>Mengintegrasikan analisis kapasitas dalam rancangan menyusun kajian dampak lingkungan awal dari suatu proyek sda.</t>
  </si>
  <si>
    <t>Mempresentasikan desain menyusun kajian dampak lingkungan awal dari suatu proyek sda yang mengoptimalkan studi kelayakan.</t>
  </si>
  <si>
    <t>Menguraikan ruang lingkup mempresentasikan hasil kajian amdal dan berdiskusi secara kritis dalam kaitannya dengan optimasi sistem.</t>
  </si>
  <si>
    <t>Menerapkan mempresentasikan hasil kajian amdal dan berdiskusi secara kritis pada studi kasus studi kelayakan.</t>
  </si>
  <si>
    <t>Mengevaluasi hasil mempresentasikan hasil kajian amdal dan berdiskusi secara kritis dengan membandingkan pada analisis kapasitas.</t>
  </si>
  <si>
    <t>Menguraikan konsep menjelaskan sifat fisik dan kimia tanah serta pengaruhnya terhadap pertumbuhan tanaman dengan mengaitkan pada parameter seperti analisis kapasitas.</t>
  </si>
  <si>
    <t>Menjelaskan hubungan menjelaskan sifat fisik dan kimia tanah serta pengaruhnya terhadap pertumbuhan tanaman terhadap optimasi sistem di konteks teknik sumber daya air.</t>
  </si>
  <si>
    <t>Memberikan interpretasi pengaruh menjelaskan sifat fisik dan kimia tanah serta pengaruhnya terhadap pertumbuhan tanaman terhadap monitoring dalam studi kasus nyata.</t>
  </si>
  <si>
    <t>Menganalisis menganalisis kebutuhan air tanaman berdasarkan jenis tanaman dan fase pertumbuhannya menggunakan data studi kelayakan.</t>
  </si>
  <si>
    <t>Membandingkan menganalisis kebutuhan air tanaman berdasarkan jenis tanaman dan fase pertumbuhannya berdasarkan parameter monitoring.</t>
  </si>
  <si>
    <t>Menyimpulkan hasil analisis menganalisis kebutuhan air tanaman berdasarkan jenis tanaman dan fase pertumbuhannya terkait optimasi sistem.</t>
  </si>
  <si>
    <t>Menguraikan konsep menjelaskan interaksi antara tanah, air, dan tanaman dalam sistem pertanian dengan mengaitkan pada parameter seperti pemodelan matematis.</t>
  </si>
  <si>
    <t>Menjelaskan hubungan menjelaskan interaksi antara tanah, air, dan tanaman dalam sistem pertanian terhadap analisis kapasitas di konteks teknik sumber daya air.</t>
  </si>
  <si>
    <t>Memberikan interpretasi pengaruh menjelaskan interaksi antara tanah, air, dan tanaman dalam sistem pertanian terhadap studi kelayakan dalam studi kasus nyata.</t>
  </si>
  <si>
    <t>Mengidentifikasi komponen mengidentifikasi teknik konservasi tanah dan air dalam pengelolaan lahan berdasarkan analisis kapasitas.</t>
  </si>
  <si>
    <t>Mengelompokkan jenis atau kategori mengidentifikasi teknik konservasi tanah dan air dalam pengelolaan lahan dengan acuan pemodelan matematis.</t>
  </si>
  <si>
    <t>Menentukan faktor dominan mengidentifikasi teknik konservasi tanah dan air dalam pengelolaan lahan yang memengaruhi optimasi sistem.</t>
  </si>
  <si>
    <t>Merancang menyusun laporan studi lapangan tentang klasifikasi tanah dan tanaman dominan dengan spesifikasi monitoring.</t>
  </si>
  <si>
    <t>Mengintegrasikan analisis kapasitas dalam rancangan menyusun laporan studi lapangan tentang klasifikasi tanah dan tanaman dominan.</t>
  </si>
  <si>
    <t>Mempresentasikan desain menyusun laporan studi lapangan tentang klasifikasi tanah dan tanaman dominan yang mengoptimalkan studi kelayakan.</t>
  </si>
  <si>
    <t>Menguraikan konsep menjelaskan jenis dan fungsi alat berat yang digunakan dalam pemindahan tanah dengan mengaitkan pada parameter seperti optimasi sistem.</t>
  </si>
  <si>
    <t>Menjelaskan hubungan menjelaskan jenis dan fungsi alat berat yang digunakan dalam pemindahan tanah terhadap pemodelan matematis di konteks teknik sumber daya air.</t>
  </si>
  <si>
    <t>Memberikan interpretasi pengaruh menjelaskan jenis dan fungsi alat berat yang digunakan dalam pemindahan tanah terhadap analisis kapasitas dalam studi kasus nyata.</t>
  </si>
  <si>
    <t>Menentukan variabel masukan menghitung produktivitas alat berat berdasarkan kondisi operasional di lapangan seperti pemodelan matematis.</t>
  </si>
  <si>
    <t>Menghitung menghitung produktivitas alat berat berdasarkan kondisi operasional di lapangan dengan mempertimbangkan monitoring.</t>
  </si>
  <si>
    <t>Memverifikasi hasil menghitung produktivitas alat berat berdasarkan kondisi operasional di lapangan melalui perbandingan dengan studi kelayakan.</t>
  </si>
  <si>
    <t>Merancang merancang perencanaan pekerjaan pemindahan tanah mekanis dengan spesifikasi studi kelayakan.</t>
  </si>
  <si>
    <t>Mengintegrasikan pemodelan matematis dalam rancangan merancang perencanaan pekerjaan pemindahan tanah mekanis.</t>
  </si>
  <si>
    <t>Mempresentasikan desain merancang perencanaan pekerjaan pemindahan tanah mekanis yang mengoptimalkan monitoring.</t>
  </si>
  <si>
    <t>Menganalisis menganalisis biaya operasional dan efisiensi alat berat menggunakan data pemodelan matematis.</t>
  </si>
  <si>
    <t>Membandingkan menganalisis biaya operasional dan efisiensi alat berat berdasarkan parameter studi kelayakan.</t>
  </si>
  <si>
    <t>Menyimpulkan hasil analisis menganalisis biaya operasional dan efisiensi alat berat terkait analisis kapasitas.</t>
  </si>
  <si>
    <t>Merancang menyusun laporan teknis dan mempresentasikan rencana pekerjaan pemindahan tanah dengan spesifikasi monitoring.</t>
  </si>
  <si>
    <t>Mengintegrasikan analisis kapasitas dalam rancangan menyusun laporan teknis dan mempresentasikan rencana pekerjaan pemindahan tanah.</t>
  </si>
  <si>
    <t>Mempresentasikan desain menyusun laporan teknis dan mempresentasikan rencana pekerjaan pemindahan tanah yang mengoptimalkan studi kelayakan.</t>
  </si>
  <si>
    <t>Menguraikan konsep menjelaskan konsep kepemimpinan dan perannya dalam dunia teknik dengan mengaitkan pada parameter seperti risk register.</t>
  </si>
  <si>
    <t>Menjelaskan hubungan menjelaskan konsep kepemimpinan dan perannya dalam dunia teknik terhadap baseline schedule di konteks manajemen proyek dan ekonomi teknik.</t>
  </si>
  <si>
    <t>Memberikan interpretasi pengaruh menjelaskan konsep kepemimpinan dan perannya dalam dunia teknik terhadap critical path dalam studi kasus nyata.</t>
  </si>
  <si>
    <t>Menganalisis menganalisis keterampilan interpersonal dan komunikasi dalam tim kerja menggunakan data monitoring.</t>
  </si>
  <si>
    <t>Membandingkan menganalisis keterampilan interpersonal dan komunikasi dalam tim kerja berdasarkan parameter pemodelan matematis.</t>
  </si>
  <si>
    <t>Menyimpulkan hasil analisis menganalisis keterampilan interpersonal dan komunikasi dalam tim kerja terkait optimasi sistem.</t>
  </si>
  <si>
    <t>Menguraikan konsep menjelaskan prinsip dasar kewirausahaan dan inovasi dengan mengaitkan pada parameter seperti optimasi sistem.</t>
  </si>
  <si>
    <t>Menjelaskan hubungan menjelaskan prinsip dasar kewirausahaan dan inovasi terhadap monitoring di konteks teknik sumber daya air.</t>
  </si>
  <si>
    <t>Memberikan interpretasi pengaruh menjelaskan prinsip dasar kewirausahaan dan inovasi terhadap studi kelayakan dalam studi kasus nyata.</t>
  </si>
  <si>
    <t>Merancang menyusun rencana bisnis sederhana yang berkelanjutan dengan spesifikasi studi kelayakan.</t>
  </si>
  <si>
    <t>Mengintegrasikan pemodelan matematis dalam rancangan menyusun rencana bisnis sederhana yang berkelanjutan.</t>
  </si>
  <si>
    <t>Mempresentasikan desain menyusun rencana bisnis sederhana yang berkelanjutan yang mengoptimalkan analisis kapasitas.</t>
  </si>
  <si>
    <t>Menguraikan ruang lingkup mempresentasikan rencana bisnis dan kepemimpinan tim secara profesional dalam kaitannya dengan monitoring.</t>
  </si>
  <si>
    <t>Menerapkan mempresentasikan rencana bisnis dan kepemimpinan tim secara profesional pada studi kasus optimasi sistem.</t>
  </si>
  <si>
    <t>Mengevaluasi hasil mempresentasikan rencana bisnis dan kepemimpinan tim secara profesional dengan membandingkan pada pemodelan matematis.</t>
  </si>
  <si>
    <t>Menguraikan konsep menjelaskan konsep dasar etika profesi dan peranannya dalam dunia teknik dengan mengaitkan pada parameter seperti studi kelayakan.</t>
  </si>
  <si>
    <t>Menjelaskan hubungan menjelaskan konsep dasar etika profesi dan peranannya dalam dunia teknik terhadap analisis kapasitas di konteks teknik sumber daya air.</t>
  </si>
  <si>
    <t>Memberikan interpretasi pengaruh menjelaskan konsep dasar etika profesi dan peranannya dalam dunia teknik terhadap monitoring dalam studi kasus nyata.</t>
  </si>
  <si>
    <t>Menganalisis menganalisis kode etik profesi teknik nasional dan internasional menggunakan data monitoring.</t>
  </si>
  <si>
    <t>Membandingkan menganalisis kode etik profesi teknik nasional dan internasional berdasarkan parameter optimasi sistem.</t>
  </si>
  <si>
    <t>Menyimpulkan hasil analisis menganalisis kode etik profesi teknik nasional dan internasional terkait studi kelayakan.</t>
  </si>
  <si>
    <t>Mengidentifikasi komponen mengidentifikasi dilema etika yang umum terjadi dalam praktik teknik berdasarkan studi kelayakan.</t>
  </si>
  <si>
    <t>Mengelompokkan jenis atau kategori mengidentifikasi dilema etika yang umum terjadi dalam praktik teknik dengan acuan analisis kapasitas.</t>
  </si>
  <si>
    <t>Menentukan faktor dominan mengidentifikasi dilema etika yang umum terjadi dalam praktik teknik yang memengaruhi monitoring.</t>
  </si>
  <si>
    <t>Menentukan variabel masukan menerapkan prinsip etika dalam pengambilan keputusan teknik yang kompleks seperti analisis kapasitas.</t>
  </si>
  <si>
    <t>Menghitung menerapkan prinsip etika dalam pengambilan keputusan teknik yang kompleks dengan mempertimbangkan monitoring.</t>
  </si>
  <si>
    <t>Memverifikasi hasil menerapkan prinsip etika dalam pengambilan keputusan teknik yang kompleks melalui perbandingan dengan pemodelan matematis.</t>
  </si>
  <si>
    <t>Menguraikan ruang lingkup mempresentasikan pendapat secara profesional dan etis dalam forum akademik dalam kaitannya dengan optimasi sistem.</t>
  </si>
  <si>
    <t>Menerapkan mempresentasikan pendapat secara profesional dan etis dalam forum akademik pada studi kasus monitoring.</t>
  </si>
  <si>
    <t>Mengevaluasi hasil mempresentasikan pendapat secara profesional dan etis dalam forum akademik dengan membandingkan pada analisis kapasitas.</t>
  </si>
  <si>
    <t>Menguraikan konsep menjelaskan prinsip dan standar dalam gambar teknik dengan mengaitkan pada parameter seperti pemodelan matematis.</t>
  </si>
  <si>
    <t>Menjelaskan hubungan menjelaskan prinsip dan standar dalam gambar teknik terhadap analisis kapasitas di konteks teknik sumber daya air.</t>
  </si>
  <si>
    <t>Memberikan interpretasi pengaruh menjelaskan prinsip dan standar dalam gambar teknik terhadap studi kelayakan dalam studi kasus nyata.</t>
  </si>
  <si>
    <t>Menguraikan ruang lingkup menggambar proyeksi ortogonal dan tampak potongan bangunan teknik secara manual dalam kaitannya dengan monitoring.</t>
  </si>
  <si>
    <t>Menerapkan menggambar proyeksi ortogonal dan tampak potongan bangunan teknik secara manual pada studi kasus analisis kapasitas.</t>
  </si>
  <si>
    <t>Mengevaluasi hasil menggambar proyeksi ortogonal dan tampak potongan bangunan teknik secara manual dengan membandingkan pada pemodelan matematis.</t>
  </si>
  <si>
    <t>Menyiapkan peralatan mengoperasikan perangkat lunak cad (computer aided design) dasar dengan mempertimbangkan studi kelayakan.</t>
  </si>
  <si>
    <t>Mengoperasikan mengoperasikan perangkat lunak cad (computer aided design) dasar sesuai prosedur analisis kapasitas.</t>
  </si>
  <si>
    <t>Memantau kinerja mengoperasikan perangkat lunak cad (computer aided design) dasar berdasarkan optimasi sistem.</t>
  </si>
  <si>
    <t>Menganalisis menganalisis gambar teknik dan mengoreksi kesalahan gambar menggunakan data optimasi sistem.</t>
  </si>
  <si>
    <t>Membandingkan menganalisis gambar teknik dan mengoreksi kesalahan gambar berdasarkan parameter analisis kapasitas.</t>
  </si>
  <si>
    <t>Menyimpulkan hasil analisis menganalisis gambar teknik dan mengoreksi kesalahan gambar terkait monitoring.</t>
  </si>
  <si>
    <t>Menguraikan ruang lingkup mempresentasikan hasil gambar teknik secara komunikatif dan profesional dalam kaitannya dengan optimasi sistem.</t>
  </si>
  <si>
    <t>Menerapkan mempresentasikan hasil gambar teknik secara komunikatif dan profesional pada studi kasus pemodelan matematis.</t>
  </si>
  <si>
    <t>Mengevaluasi hasil mempresentasikan hasil gambar teknik secara komunikatif dan profesional dengan membandingkan pada studi kelayakan.</t>
  </si>
  <si>
    <t>Menguraikan konsep menjelaskan jenis dan fungsi bangunan irigasi sekunder dan tersier dengan mengaitkan pada parameter seperti intensitas hujan.</t>
  </si>
  <si>
    <t>Menjelaskan hubungan menjelaskan jenis dan fungsi bangunan irigasi sekunder dan tersier terhadap limpasan permukaan di konteks hidrologi dan sumber daya air.</t>
  </si>
  <si>
    <t>Memberikan interpretasi pengaruh menjelaskan jenis dan fungsi bangunan irigasi sekunder dan tersier terhadap stasiun hidrometri dalam studi kasus nyata.</t>
  </si>
  <si>
    <t>Menentukan variabel masukan menghitung kapasitas dan dimensi bangunan irigasi berdasarkan data hidrologi seperti studi kelayakan.</t>
  </si>
  <si>
    <t>Menghitung menghitung kapasitas dan dimensi bangunan irigasi berdasarkan data hidrologi dengan mempertimbangkan analisis kapasitas.</t>
  </si>
  <si>
    <t>Memverifikasi hasil menghitung kapasitas dan dimensi bangunan irigasi berdasarkan data hidrologi melalui perbandingan dengan monitoring.</t>
  </si>
  <si>
    <t>Merancang merancang bangunan irigasi secara teknis dan ekonomis dengan spesifikasi pemodelan matematis.</t>
  </si>
  <si>
    <t>Mengintegrasikan monitoring dalam rancangan merancang bangunan irigasi secara teknis dan ekonomis.</t>
  </si>
  <si>
    <t>Mempresentasikan desain merancang bangunan irigasi secara teknis dan ekonomis yang mengoptimalkan analisis kapasitas.</t>
  </si>
  <si>
    <t>Menilai mengevaluasi kinerja bangunan irigasi eksisting di lapangan berdasarkan analisis kapasitas.</t>
  </si>
  <si>
    <t>Memvalidasi mengevaluasi kinerja bangunan irigasi eksisting di lapangan dengan uji optimasi sistem.</t>
  </si>
  <si>
    <t>Merekomendasikan perbaikan mengevaluasi kinerja bangunan irigasi eksisting di lapangan untuk mengurangi monitoring.</t>
  </si>
  <si>
    <t>Menguraikan ruang lingkup mempresentasikan hasil perencanaan dan evaluasi bangunan irigasi dalam kaitannya dengan optimasi sistem.</t>
  </si>
  <si>
    <t>Menerapkan mempresentasikan hasil perencanaan dan evaluasi bangunan irigasi pada studi kasus monitoring.</t>
  </si>
  <si>
    <t>Mengevaluasi hasil mempresentasikan hasil perencanaan dan evaluasi bangunan irigasi dengan membandingkan pada studi kelayakan.</t>
  </si>
  <si>
    <t>Menguraikan konsep menjelaskan jenis dan karakteristik material serta profil struktur baja dengan mengaitkan pada parameter seperti tulangan tarik.</t>
  </si>
  <si>
    <t>Menjelaskan hubungan menjelaskan jenis dan karakteristik material serta profil struktur baja terhadap bearing capacity di konteks struktur dan geoteknik.</t>
  </si>
  <si>
    <t>Memberikan interpretasi pengaruh menjelaskan jenis dan karakteristik material serta profil struktur baja terhadap f’c beton dalam studi kasus nyata.</t>
  </si>
  <si>
    <t>Menganalisis menganalisis beban, gaya dalam, dan respons struktur baja sederhana menggunakan data monitoring.</t>
  </si>
  <si>
    <t>Membandingkan menganalisis beban, gaya dalam, dan respons struktur baja sederhana berdasarkan parameter analisis kapasitas.</t>
  </si>
  <si>
    <t>Menyimpulkan hasil analisis menganalisis beban, gaya dalam, dan respons struktur baja sederhana terkait optimasi sistem.</t>
  </si>
  <si>
    <t>Merancang merancang elemen struktur baja seperti balok, kolom, dan sambungan dengan spesifikasi analisis kapasitas.</t>
  </si>
  <si>
    <t>Mengintegrasikan pemodelan matematis dalam rancangan merancang elemen struktur baja seperti balok, kolom, dan sambungan.</t>
  </si>
  <si>
    <t>Mempresentasikan desain merancang elemen struktur baja seperti balok, kolom, dan sambungan yang mengoptimalkan optimasi sistem.</t>
  </si>
  <si>
    <t>Menilai mengevaluasi efisiensi dan keamanan desain struktur baja berdasarkan studi kelayakan.</t>
  </si>
  <si>
    <t>Memvalidasi mengevaluasi efisiensi dan keamanan desain struktur baja dengan uji monitoring.</t>
  </si>
  <si>
    <t>Merekomendasikan perbaikan mengevaluasi efisiensi dan keamanan desain struktur baja untuk mengurangi analisis kapasitas.</t>
  </si>
  <si>
    <t>Menguraikan ruang lingkup mempresentasikan hasil desain struktur baja secara profesional dalam kaitannya dengan monitoring.</t>
  </si>
  <si>
    <t>Menerapkan mempresentasikan hasil desain struktur baja secara profesional pada studi kasus pemodelan matematis.</t>
  </si>
  <si>
    <t>Mengevaluasi hasil mempresentasikan hasil desain struktur baja secara profesional dengan membandingkan pada studi kelayakan.</t>
  </si>
  <si>
    <t>Menguraikan konsep menjelaskan jenis dan karakteristik material serta profil struktur baja dengan mengaitkan pada parameter seperti pemodelan matematis.</t>
  </si>
  <si>
    <t>Menjelaskan hubungan menjelaskan jenis dan karakteristik material serta profil struktur baja terhadap studi kelayakan di konteks teknik sumber daya air.</t>
  </si>
  <si>
    <t>Memberikan interpretasi pengaruh menjelaskan jenis dan karakteristik material serta profil struktur baja terhadap optimasi sistem dalam studi kasus nyata.</t>
  </si>
  <si>
    <t>Menganalisis menganalisis beban, gaya dalam, dan respons struktur baja sederhana menggunakan data studi kelayakan.</t>
  </si>
  <si>
    <t>Membandingkan menganalisis beban, gaya dalam, dan respons struktur baja sederhana berdasarkan parameter optimasi sistem.</t>
  </si>
  <si>
    <t>Menyimpulkan hasil analisis menganalisis beban, gaya dalam, dan respons struktur baja sederhana terkait pemodelan matematis.</t>
  </si>
  <si>
    <t>Merancang merancang elemen struktur baja seperti balok, kolom, dan sambungan dengan spesifikasi pemodelan matematis.</t>
  </si>
  <si>
    <t>Mengintegrasikan optimasi sistem dalam rancangan merancang elemen struktur baja seperti balok, kolom, dan sambungan.</t>
  </si>
  <si>
    <t>Mempresentasikan desain merancang elemen struktur baja seperti balok, kolom, dan sambungan yang mengoptimalkan analisis kapasitas.</t>
  </si>
  <si>
    <t>Menilai mengevaluasi efisiensi dan keamanan desain struktur baja berdasarkan optimasi sistem.</t>
  </si>
  <si>
    <t>Memvalidasi mengevaluasi efisiensi dan keamanan desain struktur baja dengan uji pemodelan matematis.</t>
  </si>
  <si>
    <t>Merekomendasikan perbaikan mengevaluasi efisiensi dan keamanan desain struktur baja untuk mengurangi monitoring.</t>
  </si>
  <si>
    <t>Menerapkan mempresentasikan hasil desain struktur baja secara profesional pada studi kasus studi kelayakan.</t>
  </si>
  <si>
    <t>Mengevaluasi hasil mempresentasikan hasil desain struktur baja secara profesional dengan membandingkan pada analisis kapasitas.</t>
  </si>
  <si>
    <t>Menguraikan konsep menjelaskan morfologi dan hidraulika sungai dengan mengaitkan pada parameter seperti intensitas hujan.</t>
  </si>
  <si>
    <t>Menjelaskan hubungan menjelaskan morfologi dan hidraulika sungai terhadap debit puncak di konteks hidrologi dan sumber daya air.</t>
  </si>
  <si>
    <t>Memberikan interpretasi pengaruh menjelaskan morfologi dan hidraulika sungai terhadap stasiun hidrometri dalam studi kasus nyata.</t>
  </si>
  <si>
    <t>Menganalisis menganalisis debit banjir dan penelusuran banjir menggunakan data historis menggunakan data analisis kapasitas.</t>
  </si>
  <si>
    <t>Membandingkan menganalisis debit banjir dan penelusuran banjir menggunakan data historis berdasarkan parameter optimasi sistem.</t>
  </si>
  <si>
    <t>Menyimpulkan hasil analisis menganalisis debit banjir dan penelusuran banjir menggunakan data historis terkait pemodelan matematis.</t>
  </si>
  <si>
    <t>Menentukan variabel masukan menerapkan metode perbaikan alur sungai dan pengendalian banjir seperti optimasi sistem.</t>
  </si>
  <si>
    <t>Menghitung menerapkan metode perbaikan alur sungai dan pengendalian banjir dengan mempertimbangkan analisis kapasitas.</t>
  </si>
  <si>
    <t>Memverifikasi hasil menerapkan metode perbaikan alur sungai dan pengendalian banjir melalui perbandingan dengan pemodelan matematis.</t>
  </si>
  <si>
    <t>Merancang merancang skema pengendalian banjir dan stabilisasi alur sungai dengan spesifikasi studi kelayakan.</t>
  </si>
  <si>
    <t>Mengintegrasikan pemodelan matematis dalam rancangan merancang skema pengendalian banjir dan stabilisasi alur sungai.</t>
  </si>
  <si>
    <t>Mempresentasikan desain merancang skema pengendalian banjir dan stabilisasi alur sungai yang mengoptimalkan analisis kapasitas.</t>
  </si>
  <si>
    <t>Merancang menyusun laporan evaluasi hidraulika sungai dan perencanaan pengendalian dengan spesifikasi analisis kapasitas.</t>
  </si>
  <si>
    <t>Mengintegrasikan optimasi sistem dalam rancangan menyusun laporan evaluasi hidraulika sungai dan perencanaan pengendalian.</t>
  </si>
  <si>
    <t>Mempresentasikan desain menyusun laporan evaluasi hidraulika sungai dan perencanaan pengendalian yang mengoptimalkan monitoring.</t>
  </si>
  <si>
    <t>Mampu menyajikan data dalam bentuk tabel, grafik, dan diagram pada studi kasus integral ganda.</t>
  </si>
  <si>
    <t>Mampu menyajikan data dalam bentuk tabel, grafik, dan diagram dengan membandingkan pada reaksi kimia.</t>
  </si>
  <si>
    <t>Menghitung ukuran pemusatan (mean, median, modus) dan ukuran penyebaran (range, varians, simpangan baku) seperti monitoring.</t>
  </si>
  <si>
    <t>Menghitung  ukuran pemusatan (mean, median, modus) dan ukuran penyebaran (range, varians, simpangan baku) dengan mempertimbangkan pemodelan matematis.</t>
  </si>
  <si>
    <t>Menghitung ukuran pemusatan (mean, median, modus) dan ukuran penyebaran (range, varians, simpangan baku) melalui perbandingan dengan studi kelayakan.</t>
  </si>
  <si>
    <t>Menganalisis peluang kejadian menggunakan aturan peluang dasar menggunakan data optimasi sistem.</t>
  </si>
  <si>
    <t>Menganalisis peluang kejadian menggunakan aturan peluang dasar berdasarkan parameter pemodelan matematis.</t>
  </si>
  <si>
    <t>Menganalisis peluang kejadian menggunakan aturan peluang dasar terkait analisis kapasitas.</t>
  </si>
  <si>
    <t>Menentukan distribusi probabilitas diskrit (binomial, poisson) dan kontinu (normal) dalam kaitannya dengan studi kelayakan.</t>
  </si>
  <si>
    <t>Menentukan distribusi probabilitas diskrit (binomial, poisson) dan kontinu (normal) pada studi kasus optimasi sistem.</t>
  </si>
  <si>
    <t>Menentukan distribusi probabilitas diskrit (binomial, poisson) dan kontinu (normal) dengan membandingkan pada pemodelan matematis.</t>
  </si>
  <si>
    <t>Menganalisis kapasitas saluran irigasi dan debit desain menggunakan data pemodelan matematis.</t>
  </si>
  <si>
    <t>Menganalisis kapasitas saluran irigasi dan debit desain berdasarkan parameter analisis kapasitas.</t>
  </si>
  <si>
    <t>Menganalisis kapasitas saluran irigasi dan debit desain terkait monitoring.</t>
  </si>
  <si>
    <t>Merancang sistem jaringan irigasi dari intake hingga saluran tersier dengan spesifikasi studi kelayakan.</t>
  </si>
  <si>
    <t>Mengintegrasikan analisis kapasitas dalam rancangan sistem jaringan irigasi dari intake hingga saluran tersier.</t>
  </si>
  <si>
    <t>Mempresentasikan desain rancangan sistem jaringan irigasi dari intake hingga saluran tersier yang mengoptimalkan optimasi sistem.</t>
  </si>
  <si>
    <t xml:space="preserve"> Bahasa Inggris Teknik 1</t>
  </si>
  <si>
    <t>Konferen AIK</t>
  </si>
  <si>
    <t>Manajemen Air</t>
  </si>
  <si>
    <t>Pemindahan Tanah Mekanis</t>
  </si>
  <si>
    <t>SEMESTER 1</t>
  </si>
  <si>
    <t>SEMESTER  2</t>
  </si>
  <si>
    <t>SEMESTER 3</t>
  </si>
  <si>
    <t>SEMESTER 4</t>
  </si>
  <si>
    <t>SEMESTER 5</t>
  </si>
  <si>
    <t>SEMESTER 6</t>
  </si>
  <si>
    <t>SEMESTER 7</t>
  </si>
  <si>
    <t>SEMESTER 8</t>
  </si>
  <si>
    <t>Kode Mata Kuliah</t>
  </si>
  <si>
    <t>Semester</t>
  </si>
  <si>
    <t>Jumlah MK</t>
  </si>
  <si>
    <t>KETERANGAN:</t>
  </si>
  <si>
    <t>Mata Kuliah Pendukung</t>
  </si>
  <si>
    <t>Mekanika Teknik I (ENGS)</t>
  </si>
  <si>
    <t>Mekanika Teknik II (ENGS)</t>
  </si>
  <si>
    <t>Konstruksi Beton I (ENGS)</t>
  </si>
  <si>
    <t>Aplikasi Komputer 2 (ENGS)</t>
  </si>
  <si>
    <t>Hidrolika Dasar (ENGS)</t>
  </si>
  <si>
    <t>Hidrolika Terapan (ENGS)</t>
  </si>
  <si>
    <t>Hidrologi II (ENGS)</t>
  </si>
  <si>
    <t>Pengelolaan Air Tanah (ENGS)</t>
  </si>
  <si>
    <t>Mekanika Tanah II (ENGS)</t>
  </si>
  <si>
    <t>Menggambar Teknik (ENGS)</t>
  </si>
  <si>
    <t>Ilmu Ukur Tanah &amp; Pemetaan (ENGS)</t>
  </si>
  <si>
    <t>Teknik Lingkungan &amp; AMDAL (ENGS)</t>
  </si>
  <si>
    <t>Teknik Pondasi (ENGS)</t>
  </si>
  <si>
    <t>Pendidikan Agama Islam (GE)</t>
  </si>
  <si>
    <t>Bahasa Indonesia (GE)</t>
  </si>
  <si>
    <t>Bahasa Inggris (GE)</t>
  </si>
  <si>
    <t>Pendidikan Kewarganegaraan (GE)</t>
  </si>
  <si>
    <t>AIK II (Peng. Studi Islam &amp; Kemuh. 2) (GE)</t>
  </si>
  <si>
    <t>AIK III (Aqidah Islam &amp; Kemuh. 3) (GE)</t>
  </si>
  <si>
    <t>AIK IV (Ibadah Khasshah &amp; Kemuh. 4) (GE)</t>
  </si>
  <si>
    <t>Ekonomi Teknik (GE)</t>
  </si>
  <si>
    <t>Manajemen Konstruksi (ENGD)</t>
  </si>
  <si>
    <t>Standarisasi Keselamatan Kerja (GE)</t>
  </si>
  <si>
    <t>Metode Penelitian (GE)</t>
  </si>
  <si>
    <t>Kepemimpinan &amp; Kewirausahaan (GE)</t>
  </si>
  <si>
    <t>Etika Profesi (GE)</t>
  </si>
  <si>
    <t>Pendidikan Pancasila (GE)</t>
  </si>
  <si>
    <t>Komputer 1 (ENGS)</t>
  </si>
  <si>
    <t>Sains Kebumian (Hidrologi I) (MBS)</t>
  </si>
  <si>
    <t>Bahasa Arab</t>
  </si>
  <si>
    <t>Konstruksi Baja  (ENGD)</t>
  </si>
  <si>
    <t>Konstruksi Bendungan I (ENGD)</t>
  </si>
  <si>
    <t>Konstruksi Bendungan II (ENGD)</t>
  </si>
  <si>
    <t>Konstruksi Beton II (ENGD)</t>
  </si>
  <si>
    <t>Matematika I (MBS)</t>
  </si>
  <si>
    <t>Matematika II (MBS)</t>
  </si>
  <si>
    <t>Matematika III (MBS)</t>
  </si>
  <si>
    <t>Matematika IV (MBS)</t>
  </si>
  <si>
    <t>Bangunan Irigasi (ENGD)</t>
  </si>
  <si>
    <t>Capstone Design (ENGD)</t>
  </si>
  <si>
    <t>Fisika II (MBS)</t>
  </si>
  <si>
    <t>Pengelolaan Kualitas &amp; Jaringan Perpipaan (ENGD)</t>
  </si>
  <si>
    <t>Perencanaan &amp; Pengelolaan Waduk (ENGD)</t>
  </si>
  <si>
    <t>Jaringan Irigasi (ENGD)</t>
  </si>
  <si>
    <t>Geologi (MBS)</t>
  </si>
  <si>
    <t>Perencanaan Drainase Kota (ENGD)</t>
  </si>
  <si>
    <t>Reklamasi &amp; Bangunan Pantai (ENGD)</t>
  </si>
  <si>
    <t>Teknik Pantai (ENGD)</t>
  </si>
  <si>
    <t>Fisika I (MBS)</t>
  </si>
  <si>
    <t>Transpor Sedimen (ENGD)</t>
  </si>
  <si>
    <t>Pengembangan Sumber Daya Air (ENGD)</t>
  </si>
  <si>
    <t>Statistika &amp; Probabilitas (MBS)</t>
  </si>
  <si>
    <t>Teknik Sungai I (ENGD)</t>
  </si>
  <si>
    <t>Teknik Sungai II (ENGD)</t>
  </si>
  <si>
    <t>Perencanaan PLTA (ENGD)</t>
  </si>
  <si>
    <t>Teknik Jalan Raya (ENGD)</t>
  </si>
  <si>
    <t>Ilmu Tanah &amp; Tanaman (MBS)</t>
  </si>
  <si>
    <t>Mekanika Tanah I (MBS)</t>
  </si>
  <si>
    <t>Sains Kebumian (Hidrologi I)</t>
  </si>
  <si>
    <t>Mata Kuliah Basic Sciences (MBS)</t>
  </si>
  <si>
    <t>Mata Kuliah Engineering Sciences (ENGS)</t>
  </si>
  <si>
    <t>Mata Kuliah Engineering Design (ENGD)</t>
  </si>
  <si>
    <t>Mata Kuliah Umum (GE)</t>
  </si>
  <si>
    <t>KKP-Plus (ENGD)</t>
  </si>
  <si>
    <t xml:space="preserve">Skripsi </t>
  </si>
  <si>
    <t>Mata Kuliah Universitas</t>
  </si>
  <si>
    <t>Mata Kuliah Fakultas</t>
  </si>
  <si>
    <t>Mata Kuliah Prodi</t>
  </si>
  <si>
    <t>Kimia (MBS)</t>
  </si>
  <si>
    <t>Praktikum Fisika Dasar</t>
  </si>
  <si>
    <t>Praktikum Ilmu Ukur Tanah</t>
  </si>
  <si>
    <t>Praktikum Hidrolika</t>
  </si>
  <si>
    <t>Praktikum Mekanika Tanah</t>
  </si>
  <si>
    <t>Praktikum Beton</t>
  </si>
  <si>
    <t>Praktikum Sungai</t>
  </si>
  <si>
    <t>CW6222023101</t>
  </si>
  <si>
    <t>CW6222022102</t>
  </si>
  <si>
    <t>CW6222023103</t>
  </si>
  <si>
    <t>CW6222022104</t>
  </si>
  <si>
    <t>CW6222020105</t>
  </si>
  <si>
    <t>CW6222022201</t>
  </si>
  <si>
    <t>CW6222023202</t>
  </si>
  <si>
    <t>CW6222023203</t>
  </si>
  <si>
    <t>CW6222022204</t>
  </si>
  <si>
    <t>CW6222022205</t>
  </si>
  <si>
    <t>CW6222022206</t>
  </si>
  <si>
    <t>CW6222022301</t>
  </si>
  <si>
    <t>CW6222022303</t>
  </si>
  <si>
    <t>CW6222022304</t>
  </si>
  <si>
    <t>CW6222022305</t>
  </si>
  <si>
    <t>CW6222022306</t>
  </si>
  <si>
    <t>CW6222022307</t>
  </si>
  <si>
    <t>CW6222022308</t>
  </si>
  <si>
    <t>CW6222020309</t>
  </si>
  <si>
    <t>AW60910042105</t>
  </si>
  <si>
    <t>AW60910042101</t>
  </si>
  <si>
    <t>AW60910042103</t>
  </si>
  <si>
    <t>AW60910042206</t>
  </si>
  <si>
    <t>AW60910042202</t>
  </si>
  <si>
    <t>CW6222022207</t>
  </si>
  <si>
    <t>CW6222020208</t>
  </si>
  <si>
    <t>AW60910042307</t>
  </si>
  <si>
    <t>AW60910042408</t>
  </si>
  <si>
    <t>CP6222023401</t>
  </si>
  <si>
    <t>CW6222022401</t>
  </si>
  <si>
    <t>CW6222022402</t>
  </si>
  <si>
    <t>CP6222022402</t>
  </si>
  <si>
    <t>CW6222022403</t>
  </si>
  <si>
    <t>CW6222023404</t>
  </si>
  <si>
    <t>CW6222022405</t>
  </si>
  <si>
    <t>CW6222022406</t>
  </si>
  <si>
    <t>CW6222020407</t>
  </si>
  <si>
    <t>CW6222022501</t>
  </si>
  <si>
    <t>CP6222022501</t>
  </si>
  <si>
    <t>CW6222022502</t>
  </si>
  <si>
    <t>CW6222022503</t>
  </si>
  <si>
    <t>CW6222022504</t>
  </si>
  <si>
    <t>CW6222022505</t>
  </si>
  <si>
    <t>CW6222022506</t>
  </si>
  <si>
    <t>CW6222022507</t>
  </si>
  <si>
    <t>CW6222022508</t>
  </si>
  <si>
    <t>CP6222022502</t>
  </si>
  <si>
    <t>CW6222022509</t>
  </si>
  <si>
    <t>CW6222020510</t>
  </si>
  <si>
    <t>CW6222022601</t>
  </si>
  <si>
    <t>CW6222022602</t>
  </si>
  <si>
    <t>CW6222022603</t>
  </si>
  <si>
    <t>CW6222022604</t>
  </si>
  <si>
    <t>CW6222022605</t>
  </si>
  <si>
    <t>CW6222022606</t>
  </si>
  <si>
    <t>CW6222022608</t>
  </si>
  <si>
    <t>CP6222022601</t>
  </si>
  <si>
    <t>CW6222022607</t>
  </si>
  <si>
    <t>CP6222022602</t>
  </si>
  <si>
    <t>CW6222020609</t>
  </si>
  <si>
    <t>CW6222024701</t>
  </si>
  <si>
    <t>BW6042303</t>
  </si>
  <si>
    <t>BW6042302</t>
  </si>
  <si>
    <t>CW6222023302</t>
  </si>
  <si>
    <t>BW6042504</t>
  </si>
  <si>
    <t>BW6044705</t>
  </si>
  <si>
    <t>Seminar Usul/Proposal</t>
  </si>
  <si>
    <t>BW6042706</t>
  </si>
  <si>
    <t>BW6046807</t>
  </si>
  <si>
    <t>BW6040401</t>
  </si>
  <si>
    <t>Praktikum Ilmu Falak</t>
  </si>
  <si>
    <t>AW60910040411</t>
  </si>
  <si>
    <t>Statistika dan Probabilitas</t>
  </si>
  <si>
    <t>Mekanika Tanah I</t>
  </si>
  <si>
    <t>Komputer 1</t>
  </si>
  <si>
    <t>Mekanika Teknik I</t>
  </si>
  <si>
    <t>Hidrologi II</t>
  </si>
  <si>
    <t>Teknik Lingkungan &amp; Amdal</t>
  </si>
  <si>
    <t>Kontruksi Beton I</t>
  </si>
  <si>
    <t>Mekanika Tanah II</t>
  </si>
  <si>
    <t>Reklamasi dan Bangunan Pantai</t>
  </si>
  <si>
    <t>Pengelolaan Kualitas dan Jaringan Perpipaan</t>
  </si>
  <si>
    <t>Konstruksi Bendungan I</t>
  </si>
  <si>
    <t>Pengembangan Sumber Daya Air</t>
  </si>
  <si>
    <t>Perencanaan Darinase Kota</t>
  </si>
  <si>
    <t>Teknik Pantai</t>
  </si>
  <si>
    <t>Konstruksi Beton II</t>
  </si>
  <si>
    <t>Teknik Sungai I</t>
  </si>
  <si>
    <t>Manajemen Konstruksi</t>
  </si>
  <si>
    <t>Konstruksi Bendungan II</t>
  </si>
  <si>
    <t>Transportasi Sedimen</t>
  </si>
  <si>
    <t xml:space="preserve">Bangunan Irigasi  </t>
  </si>
  <si>
    <t>Jaringan Irigasi</t>
  </si>
  <si>
    <t>Perencanaan dan Pengelolaan Waduk</t>
  </si>
  <si>
    <t>Teknik Sungai II</t>
  </si>
  <si>
    <t>Perencanaan PLTA</t>
  </si>
  <si>
    <t>Kepemimpinan dan Kewirausahaan</t>
  </si>
  <si>
    <t>Etika Profesi</t>
  </si>
  <si>
    <t>Standarisasi dan Keselamatan Kerja</t>
  </si>
  <si>
    <t>Ekonomi Teknik</t>
  </si>
  <si>
    <t>3 dan 4</t>
  </si>
  <si>
    <t>Metode Penelitian</t>
  </si>
  <si>
    <t>S3</t>
  </si>
  <si>
    <t>Aktif</t>
  </si>
  <si>
    <t>Dosen Tetap</t>
  </si>
  <si>
    <t>S2</t>
  </si>
  <si>
    <t>IJIN BELAJAR</t>
  </si>
  <si>
    <t>TUGAS BELAJAR</t>
  </si>
  <si>
    <t>NO</t>
  </si>
  <si>
    <t>NAMA</t>
  </si>
  <si>
    <t>NIDN</t>
  </si>
  <si>
    <t>NUPTK</t>
  </si>
  <si>
    <t>PENDIDIKAN</t>
  </si>
  <si>
    <t>STATUS</t>
  </si>
  <si>
    <t>IKATAN KERJA</t>
  </si>
  <si>
    <t>DOSEN HOMEBASE</t>
  </si>
  <si>
    <t>SMT</t>
  </si>
  <si>
    <t>Kode MK</t>
  </si>
  <si>
    <t>Nama Dosen</t>
  </si>
  <si>
    <t>1A</t>
  </si>
  <si>
    <t>Pendidikan Agama Islam</t>
  </si>
  <si>
    <t>Bahasa Indonesia</t>
  </si>
  <si>
    <t>Pendidika Pancasila</t>
  </si>
  <si>
    <t>Dr. Ir. Hj. Nurnawaty, S.T., M.T., IPM.</t>
  </si>
  <si>
    <t>Fisika I</t>
  </si>
  <si>
    <t>Indriyanti, ST., MT.</t>
  </si>
  <si>
    <t xml:space="preserve">Komputer I </t>
  </si>
  <si>
    <t>Ir. M. Agusalim, ST., MT.</t>
  </si>
  <si>
    <t>Menggambar Teknik</t>
  </si>
  <si>
    <t>Dr. Ir. Hamzah Al Imran, ST., MT., IPM</t>
  </si>
  <si>
    <t>Lutfi Hair Djunur, ST., MT.</t>
  </si>
  <si>
    <t>Muh. Amir Zainuddin, S.T., M.T.</t>
  </si>
  <si>
    <t>Dr. Ir. Israil, ST., MT.</t>
  </si>
  <si>
    <t>IIIA</t>
  </si>
  <si>
    <t>AIK  III (Aqidah Islam &amp; Kemuh. 3)</t>
  </si>
  <si>
    <t>IIIB</t>
  </si>
  <si>
    <t>Asnita Virlayani, ST., MT.</t>
  </si>
  <si>
    <t>Dr. Ir. Hamzah Al Imran, S.T., M.T. IPM.</t>
  </si>
  <si>
    <t>Dr. Ir. Andi Makbul Syamsuri, S.T., M.T., IPM.</t>
  </si>
  <si>
    <t>Dr. Ir. Sukmasari Antaria, M.Si.</t>
  </si>
  <si>
    <t>Farida Gaffar, ST., MM., IPM.</t>
  </si>
  <si>
    <t>Dr. Ir. Abd. Rakhim Nanda, ST., MT., IPM.</t>
  </si>
  <si>
    <t>Ir. M. Agusalim, S.T., M.T.</t>
  </si>
  <si>
    <t>Ir. Andi Rahmat., ST., MT.</t>
  </si>
  <si>
    <t>Dr. Ir. Amrullah Mansida, S.T., M.T., IPM, Asean.Eng.</t>
  </si>
  <si>
    <t>Fauzan Hamdi, ST.,MT.</t>
  </si>
  <si>
    <t>Dr. Fithriyah Arief Wangsa, S.T., M.T.</t>
  </si>
  <si>
    <t>Fauzan Hamdi, S.T., M.T.</t>
  </si>
  <si>
    <t>Pengolahan Kualitas dan Jaringan Perpipaan</t>
  </si>
  <si>
    <t>Fausiah Latif, ST., MT.</t>
  </si>
  <si>
    <t>VA</t>
  </si>
  <si>
    <t>VB</t>
  </si>
  <si>
    <t>VC</t>
  </si>
  <si>
    <t>Dr. Ir. Muhammad Yunus Ali, ST., MT.</t>
  </si>
  <si>
    <t>Farida Gaffar, ST., MT.</t>
  </si>
  <si>
    <t>Perencanaan Drainase Kota</t>
  </si>
  <si>
    <t>Dr. Ir. Andi Makbul Syamsuri, ST., MT., IPM.</t>
  </si>
  <si>
    <t>Dr. Marupah, S.P., M.P.</t>
  </si>
  <si>
    <t>Dr. Ir. Nenny T. Karim, ST., MT., IPM.</t>
  </si>
  <si>
    <t>Ir. Muhammad Syafa'at S. Kuba, ST., MT.</t>
  </si>
  <si>
    <t>Dr. Fithriyah Arief Wangsa, ST., MT.</t>
  </si>
  <si>
    <t>Dr. Ir. Hj. Nurnawaty, ST., MT.</t>
  </si>
  <si>
    <t>Dr. Ir. Hamzah Al Imran, S.T., M.T., IPM.</t>
  </si>
  <si>
    <t>Prof. Dr. Ir. DARWIS, S.T., M.Sc.</t>
  </si>
  <si>
    <t>Dr. Ir. ANDI MAKBUL SYAMSURI, S.T., M.T., IPM.</t>
  </si>
  <si>
    <t>Dr. Ir. AMRULLAH MANSIDA, S.T., M.T., IPM., Asean. Eng.</t>
  </si>
  <si>
    <t>Dr. FITHRIYAH ARIEF WANGSA, S.T., M.T.</t>
  </si>
  <si>
    <t>Dr. Ir. MUHAMMAD YUNUS ALI, S.T., M.T.</t>
  </si>
  <si>
    <t>Dr. LUTFI HAIR DJUNUR, S.T., M.T.</t>
  </si>
  <si>
    <t>Dr. MARUPAH, SP., M.P.</t>
  </si>
  <si>
    <t>INDRIYANTI, S.T., M.T.</t>
  </si>
  <si>
    <t>ANDI BUNGA TONGENG ANAS, S.T., M.T.</t>
  </si>
  <si>
    <t>Ir. M. AGUSALIM, S.T., M.T.</t>
  </si>
  <si>
    <t>ASNITA VIRLAYANI, S.T., M.T.</t>
  </si>
  <si>
    <t>Dr. Ir. HAMZAH AL-IMRAN, S.T., M.T., IPM.</t>
  </si>
  <si>
    <t>SUMARDI, S.T., M.Sc.</t>
  </si>
  <si>
    <t>KASMAWATI, S.T., M.T.</t>
  </si>
  <si>
    <t>Dr. Ir. ABD RAKHIM NANDA, S.T., M.T., IPU.</t>
  </si>
  <si>
    <t>FAUSIAH LATIF, S.T., M.T.</t>
  </si>
  <si>
    <t>MUH AMIR ZAINUDDIN, S.T., M.T.</t>
  </si>
  <si>
    <t>MAHMUDDIN, S.T., M.T.</t>
  </si>
  <si>
    <t>FAUZAN HAMDI, S.T., M.T.</t>
  </si>
  <si>
    <t>FARIDA G, S.T., M.M</t>
  </si>
  <si>
    <t>Dr. Ir. ISRAIL, S.T., M.T.</t>
  </si>
  <si>
    <t>Dr. Ir. SUKMASARI ANTARIA, M.Si.</t>
  </si>
  <si>
    <t>Dr. Ir. NENNY T KARIM, S.T., M.T., IPM.</t>
  </si>
  <si>
    <t>Ir. MUHAMMAD SYAFA'AT S KUBA, S.T., M.T.</t>
  </si>
  <si>
    <t>Dr. Ir. Hj. NURNAWATY, S.T., M.T.</t>
  </si>
  <si>
    <t xml:space="preserve">Bahasa Inggris </t>
  </si>
  <si>
    <t>Matematika III</t>
  </si>
  <si>
    <t>AW60910040511</t>
  </si>
  <si>
    <t>Teknik Pondasi</t>
  </si>
  <si>
    <t xml:space="preserve">Komprehensif AIK </t>
  </si>
  <si>
    <t>KKP-Plus</t>
  </si>
  <si>
    <t>Capstone Design</t>
  </si>
  <si>
    <t>VII</t>
  </si>
  <si>
    <t>Ir. Muhammad Syafa'at S. Kuba, ST.,MT.</t>
  </si>
  <si>
    <t>Sumardi, S.T., M.Sc.</t>
  </si>
  <si>
    <t>Fausiah Latif, S.T., M.T.</t>
  </si>
  <si>
    <t>Dr. FATRIADY MR., S.T., M.T.</t>
  </si>
  <si>
    <t>Dr. Fatriady MR., S.T., M.T.</t>
  </si>
  <si>
    <t>Mahmuddin, ST., MT.</t>
  </si>
  <si>
    <t>BW6046707</t>
  </si>
  <si>
    <t>BW6044805</t>
  </si>
  <si>
    <t>CW6222024801</t>
  </si>
  <si>
    <t>BW6042806</t>
  </si>
  <si>
    <t>1N</t>
  </si>
  <si>
    <t>IIIN</t>
  </si>
  <si>
    <t>VN</t>
  </si>
  <si>
    <t>Mahmuddin, S.T., M.T.</t>
  </si>
  <si>
    <t>AW60910042106</t>
  </si>
  <si>
    <t>AW60910042107</t>
  </si>
  <si>
    <t>Bahasa Inggris Teknik (GE)</t>
  </si>
  <si>
    <t xml:space="preserve"> </t>
  </si>
  <si>
    <t>Kasmawati, S.T., M.T</t>
  </si>
  <si>
    <t>Total SKS</t>
  </si>
  <si>
    <t>CP6222022403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</si>
</sst>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23" x14ac:knownFonts="1">
    <font>
      <sz val="11"/>
      <color theme="1"/>
      <name val="Calibri"/>
      <family val="2"/>
      <scheme val="minor"/>
    </font>
    <font>
      <sz val="10"/>
      <color theme="1"/>
      <name val="Times New Roman"/>
      <family val="1"/>
    </font>
    <font>
      <sz val="11"/>
      <color theme="1"/>
      <name val="Cambria"/>
      <family val="1"/>
    </font>
    <font>
      <sz val="12"/>
      <color theme="1"/>
      <name val="Times New Roman"/>
      <family val="1"/>
    </font>
    <font>
      <sz val="8"/>
      <name val="Calibri"/>
      <family val="2"/>
      <scheme val="minor"/>
    </font>
    <font>
      <b/>
      <sz val="11"/>
      <color rgb="FF000000"/>
      <name val="Times New Roman"/>
      <family val="1"/>
    </font>
    <font>
      <sz val="11"/>
      <color rgb="FF000000"/>
      <name val="Times New Roman"/>
      <family val="1"/>
    </font>
    <font>
      <sz val="10"/>
      <color rgb="FF000000"/>
      <name val="Times New Roman"/>
      <family val="1"/>
    </font>
    <font>
      <b/>
      <sz val="10"/>
      <color rgb="FF2F75B5"/>
      <name val="Times New Roman"/>
      <family val="1"/>
    </font>
    <font>
      <sz val="11"/>
      <color theme="1"/>
      <name val="Tahoma"/>
      <family val="2"/>
    </font>
    <font>
      <b/>
      <sz val="11"/>
      <color theme="1"/>
      <name val="Tahoma"/>
      <family val="2"/>
    </font>
    <font>
      <sz val="10"/>
      <color rgb="FF000000"/>
      <name val="Tahoma"/>
      <family val="2"/>
    </font>
    <font>
      <sz val="12"/>
      <color theme="1"/>
      <name val="Tahoma"/>
      <family val="2"/>
    </font>
    <font>
      <sz val="11"/>
      <color rgb="FFFF0000"/>
      <name val="Tahoma"/>
      <family val="2"/>
    </font>
    <font>
      <sz val="11"/>
      <color theme="1"/>
      <name val="Calibri"/>
      <family val="2"/>
      <scheme val="minor"/>
    </font>
    <font>
      <sz val="12"/>
      <color theme="1"/>
      <name val="Arial Narrow"/>
      <family val="2"/>
    </font>
    <font>
      <b/>
      <sz val="12"/>
      <color theme="1"/>
      <name val="Arial Narrow"/>
      <family val="2"/>
    </font>
    <font>
      <sz val="12"/>
      <color theme="0"/>
      <name val="Arial Narrow"/>
      <family val="2"/>
    </font>
    <font>
      <b/>
      <sz val="12"/>
      <color theme="1"/>
      <name val="Arial"/>
      <family val="2"/>
    </font>
    <font>
      <sz val="12"/>
      <color theme="1"/>
      <name val="Arial"/>
      <family val="2"/>
    </font>
    <font>
      <sz val="10"/>
      <name val="Arial"/>
      <family val="2"/>
    </font>
    <font>
      <sz val="11"/>
      <name val="Calibri"/>
      <family val="2"/>
      <scheme val="minor"/>
    </font>
    <font>
      <sz val="10"/>
      <color rgb="FFFF0000"/>
      <name val="Arial"/>
      <family val="2"/>
    </font>
  </fonts>
  <fills count="18">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theme="5" tint="-0.249977111117893"/>
        <bgColor indexed="64"/>
      </patternFill>
    </fill>
    <fill>
      <patternFill patternType="solid">
        <fgColor theme="7"/>
        <bgColor indexed="64"/>
      </patternFill>
    </fill>
    <fill>
      <patternFill patternType="solid">
        <fgColor rgb="FF7030A0"/>
        <bgColor indexed="64"/>
      </patternFill>
    </fill>
    <fill>
      <patternFill patternType="solid">
        <fgColor theme="5"/>
        <bgColor indexed="64"/>
      </patternFill>
    </fill>
    <fill>
      <patternFill patternType="solid">
        <fgColor theme="9"/>
        <bgColor indexed="64"/>
      </patternFill>
    </fill>
  </fills>
  <borders count="3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medium">
        <color indexed="64"/>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style="medium">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s>
  <cellStyleXfs count="3">
    <xf numFmtId="0" fontId="0" fillId="0" borderId="0"/>
    <xf numFmtId="9" fontId="14" fillId="0" borderId="0" applyFont="0" applyFill="0" applyBorder="0" applyAlignment="0" applyProtection="0"/>
    <xf numFmtId="164" fontId="14" fillId="0" borderId="0" applyFont="0" applyFill="0" applyBorder="0" applyAlignment="0" applyProtection="0"/>
  </cellStyleXfs>
  <cellXfs count="157">
    <xf numFmtId="0" fontId="0" fillId="0" borderId="0" xfId="0"/>
    <xf numFmtId="0" fontId="3" fillId="0" borderId="1" xfId="0" applyFont="1" applyBorder="1" applyAlignment="1">
      <alignment vertical="center"/>
    </xf>
    <xf numFmtId="0" fontId="3" fillId="0" borderId="2" xfId="0" applyFont="1" applyBorder="1" applyAlignment="1">
      <alignment vertical="center"/>
    </xf>
    <xf numFmtId="0" fontId="0" fillId="0" borderId="0" xfId="0" applyAlignment="1">
      <alignment horizontal="left"/>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6" fillId="0" borderId="5" xfId="0" applyFont="1" applyBorder="1" applyAlignment="1">
      <alignment horizontal="right" vertical="center"/>
    </xf>
    <xf numFmtId="0" fontId="7" fillId="2" borderId="7" xfId="0" applyFont="1" applyFill="1" applyBorder="1" applyAlignment="1">
      <alignment vertical="center"/>
    </xf>
    <xf numFmtId="0" fontId="7" fillId="0" borderId="7" xfId="0" applyFont="1" applyBorder="1" applyAlignment="1">
      <alignment horizontal="center" vertical="center"/>
    </xf>
    <xf numFmtId="0" fontId="1" fillId="0" borderId="7" xfId="0" applyFont="1" applyBorder="1" applyAlignment="1">
      <alignment vertical="top"/>
    </xf>
    <xf numFmtId="0" fontId="7" fillId="0" borderId="7" xfId="0" applyFont="1" applyBorder="1" applyAlignment="1">
      <alignment vertical="center"/>
    </xf>
    <xf numFmtId="0" fontId="6" fillId="0" borderId="5" xfId="0" applyFont="1" applyBorder="1" applyAlignment="1">
      <alignment vertical="center"/>
    </xf>
    <xf numFmtId="0" fontId="8" fillId="0" borderId="7" xfId="0" applyFont="1" applyBorder="1" applyAlignment="1">
      <alignment vertical="center"/>
    </xf>
    <xf numFmtId="0" fontId="5" fillId="3" borderId="8" xfId="0" applyFont="1" applyFill="1" applyBorder="1" applyAlignment="1">
      <alignment horizontal="center" vertical="center"/>
    </xf>
    <xf numFmtId="0" fontId="5" fillId="0" borderId="11" xfId="0" applyFont="1" applyBorder="1" applyAlignment="1">
      <alignment horizontal="center" vertical="center"/>
    </xf>
    <xf numFmtId="0" fontId="3" fillId="0" borderId="0" xfId="0" applyFont="1" applyAlignment="1">
      <alignment vertical="center" wrapText="1"/>
    </xf>
    <xf numFmtId="0" fontId="3" fillId="0" borderId="0" xfId="0" applyFont="1" applyAlignment="1">
      <alignment wrapText="1"/>
    </xf>
    <xf numFmtId="0" fontId="0" fillId="0" borderId="0" xfId="0" applyAlignment="1">
      <alignment wrapText="1"/>
    </xf>
    <xf numFmtId="0" fontId="9" fillId="0" borderId="0" xfId="0" applyFont="1" applyAlignment="1">
      <alignment horizontal="left" vertical="center" wrapText="1"/>
    </xf>
    <xf numFmtId="0" fontId="9" fillId="0" borderId="0" xfId="0" applyFont="1"/>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1" fillId="2" borderId="17" xfId="0" applyFont="1" applyFill="1" applyBorder="1" applyAlignment="1">
      <alignment horizontal="left" vertical="center" wrapText="1"/>
    </xf>
    <xf numFmtId="0" fontId="9" fillId="0" borderId="18" xfId="0" applyFont="1" applyBorder="1" applyAlignment="1">
      <alignment horizontal="left" vertical="center" wrapText="1"/>
    </xf>
    <xf numFmtId="0" fontId="11" fillId="2" borderId="12" xfId="0" applyFont="1" applyFill="1" applyBorder="1" applyAlignment="1">
      <alignment horizontal="left" vertical="center" wrapText="1"/>
    </xf>
    <xf numFmtId="0" fontId="12" fillId="0" borderId="13" xfId="0" applyFont="1" applyBorder="1" applyAlignment="1">
      <alignment horizontal="left" vertical="center" wrapText="1"/>
    </xf>
    <xf numFmtId="0" fontId="11"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0" xfId="0" applyFont="1" applyAlignment="1">
      <alignment vertical="top"/>
    </xf>
    <xf numFmtId="0" fontId="10" fillId="0" borderId="21" xfId="0" applyFont="1" applyBorder="1" applyAlignment="1">
      <alignment vertical="top"/>
    </xf>
    <xf numFmtId="0" fontId="10" fillId="0" borderId="22" xfId="0" applyFont="1" applyBorder="1" applyAlignment="1">
      <alignment vertical="top"/>
    </xf>
    <xf numFmtId="0" fontId="9" fillId="0" borderId="18" xfId="0" applyFont="1" applyBorder="1" applyAlignment="1">
      <alignment vertical="top"/>
    </xf>
    <xf numFmtId="0" fontId="9" fillId="0" borderId="19" xfId="0" applyFont="1" applyBorder="1" applyAlignment="1">
      <alignment vertical="top"/>
    </xf>
    <xf numFmtId="0" fontId="9" fillId="0" borderId="13" xfId="0" applyFont="1" applyBorder="1" applyAlignment="1">
      <alignment vertical="top"/>
    </xf>
    <xf numFmtId="0" fontId="9" fillId="0" borderId="14" xfId="0" applyFont="1" applyBorder="1" applyAlignment="1">
      <alignment vertical="top"/>
    </xf>
    <xf numFmtId="0" fontId="9" fillId="0" borderId="13" xfId="0" applyFont="1" applyBorder="1" applyAlignment="1">
      <alignment vertical="top" wrapText="1"/>
    </xf>
    <xf numFmtId="0" fontId="9" fillId="0" borderId="14" xfId="0" applyFont="1" applyBorder="1" applyAlignment="1">
      <alignment vertical="top" wrapText="1"/>
    </xf>
    <xf numFmtId="0" fontId="9" fillId="0" borderId="15" xfId="0" applyFont="1" applyBorder="1" applyAlignment="1">
      <alignment vertical="top" wrapText="1"/>
    </xf>
    <xf numFmtId="0" fontId="9" fillId="0" borderId="16" xfId="0" applyFont="1" applyBorder="1" applyAlignment="1">
      <alignment vertical="top" wrapText="1"/>
    </xf>
    <xf numFmtId="0" fontId="11" fillId="0" borderId="23" xfId="0" applyFont="1" applyBorder="1" applyAlignment="1">
      <alignment horizontal="left" vertical="center" wrapText="1"/>
    </xf>
    <xf numFmtId="0" fontId="9" fillId="0" borderId="24" xfId="0" applyFont="1" applyBorder="1" applyAlignment="1">
      <alignment horizontal="left" vertical="center" wrapText="1"/>
    </xf>
    <xf numFmtId="0" fontId="9" fillId="0" borderId="24" xfId="0" applyFont="1" applyBorder="1" applyAlignment="1">
      <alignment vertical="top"/>
    </xf>
    <xf numFmtId="0" fontId="9" fillId="0" borderId="25" xfId="0" applyFont="1" applyBorder="1" applyAlignment="1">
      <alignment vertical="top"/>
    </xf>
    <xf numFmtId="0" fontId="9" fillId="0" borderId="12" xfId="0" applyFont="1" applyBorder="1" applyAlignment="1">
      <alignment vertical="center"/>
    </xf>
    <xf numFmtId="0" fontId="13" fillId="0" borderId="13" xfId="0" applyFont="1" applyBorder="1" applyAlignment="1">
      <alignment vertical="top" wrapText="1"/>
    </xf>
    <xf numFmtId="0" fontId="13" fillId="0" borderId="14" xfId="0" applyFont="1" applyBorder="1" applyAlignment="1">
      <alignment vertical="top" wrapText="1"/>
    </xf>
    <xf numFmtId="0" fontId="15" fillId="0" borderId="0" xfId="0" applyFont="1" applyAlignment="1">
      <alignment horizontal="center" vertical="center"/>
    </xf>
    <xf numFmtId="0" fontId="16" fillId="0" borderId="0" xfId="0" applyFont="1" applyAlignment="1">
      <alignment horizontal="center" vertical="center" wrapText="1"/>
    </xf>
    <xf numFmtId="0" fontId="15" fillId="0" borderId="0" xfId="0" applyFont="1" applyAlignment="1">
      <alignment horizontal="center" vertical="center" wrapText="1"/>
    </xf>
    <xf numFmtId="0" fontId="6" fillId="0" borderId="8" xfId="0" applyFont="1" applyBorder="1" applyAlignment="1">
      <alignment horizontal="center" vertical="center"/>
    </xf>
    <xf numFmtId="0" fontId="16" fillId="5" borderId="0" xfId="0" applyFont="1" applyFill="1" applyAlignment="1">
      <alignment horizontal="center" vertical="center" wrapText="1"/>
    </xf>
    <xf numFmtId="0" fontId="0" fillId="0" borderId="0" xfId="0" applyAlignment="1">
      <alignment horizontal="center"/>
    </xf>
    <xf numFmtId="0" fontId="6" fillId="0" borderId="5" xfId="0" applyFont="1" applyBorder="1" applyAlignment="1">
      <alignment horizontal="center" vertical="center"/>
    </xf>
    <xf numFmtId="0" fontId="15" fillId="0" borderId="0" xfId="0" applyFont="1" applyAlignment="1">
      <alignment horizontal="righ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5" fillId="4" borderId="0" xfId="0" applyFont="1" applyFill="1" applyAlignment="1">
      <alignment horizontal="center" vertical="center" wrapText="1"/>
    </xf>
    <xf numFmtId="0" fontId="15" fillId="0" borderId="0" xfId="0" applyFont="1" applyAlignment="1">
      <alignment horizontal="left" vertical="center"/>
    </xf>
    <xf numFmtId="0" fontId="15" fillId="3" borderId="0" xfId="0" applyFont="1" applyFill="1" applyAlignment="1">
      <alignment horizontal="center" vertical="center" wrapText="1"/>
    </xf>
    <xf numFmtId="0" fontId="15" fillId="6" borderId="0" xfId="0" applyFont="1" applyFill="1" applyAlignment="1">
      <alignment horizontal="center" vertical="center" wrapText="1"/>
    </xf>
    <xf numFmtId="0" fontId="15" fillId="7" borderId="0" xfId="0" applyFont="1" applyFill="1" applyAlignment="1">
      <alignment horizontal="center" vertical="center" wrapText="1"/>
    </xf>
    <xf numFmtId="0" fontId="15" fillId="8" borderId="0" xfId="0" applyFont="1" applyFill="1" applyAlignment="1">
      <alignment horizontal="center" vertical="center" wrapText="1"/>
    </xf>
    <xf numFmtId="0" fontId="15" fillId="0" borderId="0" xfId="0" applyFont="1" applyAlignment="1">
      <alignment vertical="center" wrapText="1"/>
    </xf>
    <xf numFmtId="9" fontId="15" fillId="0" borderId="0" xfId="1" applyFont="1" applyAlignment="1">
      <alignment horizontal="center" vertical="center" wrapText="1"/>
    </xf>
    <xf numFmtId="9" fontId="15" fillId="0" borderId="0" xfId="1" applyFont="1" applyAlignment="1">
      <alignment horizontal="left" vertical="center" wrapText="1"/>
    </xf>
    <xf numFmtId="0" fontId="15" fillId="4" borderId="0" xfId="0" applyFont="1" applyFill="1" applyAlignment="1">
      <alignment horizontal="right" vertical="center" wrapText="1"/>
    </xf>
    <xf numFmtId="0" fontId="15" fillId="3" borderId="0" xfId="0" applyFont="1" applyFill="1" applyAlignment="1">
      <alignment horizontal="right" vertical="center" wrapText="1"/>
    </xf>
    <xf numFmtId="0" fontId="15" fillId="8" borderId="0" xfId="0" applyFont="1" applyFill="1" applyAlignment="1">
      <alignment horizontal="right" vertical="center" wrapText="1"/>
    </xf>
    <xf numFmtId="0" fontId="15" fillId="6" borderId="0" xfId="0" applyFont="1" applyFill="1" applyAlignment="1">
      <alignment horizontal="right" vertical="center" wrapText="1"/>
    </xf>
    <xf numFmtId="0" fontId="15" fillId="7" borderId="0" xfId="0" applyFont="1" applyFill="1" applyAlignment="1">
      <alignment horizontal="right" vertical="center" wrapText="1"/>
    </xf>
    <xf numFmtId="9" fontId="15" fillId="0" borderId="0" xfId="0" applyNumberFormat="1" applyFont="1" applyAlignment="1">
      <alignment horizontal="center" vertical="center" wrapText="1"/>
    </xf>
    <xf numFmtId="0" fontId="15" fillId="9" borderId="0" xfId="0" applyFont="1" applyFill="1" applyAlignment="1">
      <alignment horizontal="center" vertical="center" wrapText="1"/>
    </xf>
    <xf numFmtId="0" fontId="15" fillId="10" borderId="0" xfId="0" applyFont="1" applyFill="1" applyAlignment="1">
      <alignment horizontal="center" vertical="center" wrapText="1"/>
    </xf>
    <xf numFmtId="0" fontId="17" fillId="0" borderId="0" xfId="0" applyFont="1" applyAlignment="1">
      <alignment horizontal="right" vertical="center" wrapText="1"/>
    </xf>
    <xf numFmtId="0" fontId="17" fillId="0" borderId="0" xfId="0" applyFont="1" applyAlignment="1">
      <alignment horizontal="center" vertical="center" wrapText="1"/>
    </xf>
    <xf numFmtId="0" fontId="7" fillId="3" borderId="7" xfId="0" applyFont="1" applyFill="1" applyBorder="1" applyAlignment="1">
      <alignment vertical="center"/>
    </xf>
    <xf numFmtId="0" fontId="7" fillId="3" borderId="7" xfId="0" applyFont="1" applyFill="1" applyBorder="1" applyAlignment="1">
      <alignment horizontal="center" vertical="center"/>
    </xf>
    <xf numFmtId="0" fontId="15" fillId="11" borderId="0" xfId="0" applyFont="1" applyFill="1" applyAlignment="1">
      <alignment horizontal="center" vertical="center" wrapText="1"/>
    </xf>
    <xf numFmtId="0" fontId="6" fillId="12" borderId="5" xfId="0" applyFont="1" applyFill="1" applyBorder="1" applyAlignment="1">
      <alignment horizontal="center" vertical="center"/>
    </xf>
    <xf numFmtId="0" fontId="7" fillId="12" borderId="7" xfId="0" applyFont="1" applyFill="1" applyBorder="1" applyAlignment="1">
      <alignment vertical="center"/>
    </xf>
    <xf numFmtId="0" fontId="7" fillId="12" borderId="7" xfId="0" applyFont="1" applyFill="1" applyBorder="1" applyAlignment="1">
      <alignment horizontal="center" vertical="center"/>
    </xf>
    <xf numFmtId="0" fontId="1" fillId="12" borderId="7" xfId="0" applyFont="1" applyFill="1" applyBorder="1" applyAlignment="1">
      <alignment vertical="top"/>
    </xf>
    <xf numFmtId="0" fontId="0" fillId="12" borderId="0" xfId="0" applyFill="1"/>
    <xf numFmtId="0" fontId="6" fillId="7" borderId="5" xfId="0" applyFont="1" applyFill="1" applyBorder="1" applyAlignment="1">
      <alignment horizontal="center" vertical="center"/>
    </xf>
    <xf numFmtId="0" fontId="7" fillId="7" borderId="7" xfId="0" applyFont="1" applyFill="1" applyBorder="1" applyAlignment="1">
      <alignment vertical="center"/>
    </xf>
    <xf numFmtId="0" fontId="7" fillId="7" borderId="7" xfId="0" applyFont="1" applyFill="1" applyBorder="1" applyAlignment="1">
      <alignment horizontal="center" vertical="center"/>
    </xf>
    <xf numFmtId="0" fontId="1" fillId="7" borderId="7" xfId="0" applyFont="1" applyFill="1" applyBorder="1" applyAlignment="1">
      <alignment vertical="top"/>
    </xf>
    <xf numFmtId="0" fontId="0" fillId="7" borderId="0" xfId="0" applyFill="1"/>
    <xf numFmtId="0" fontId="6" fillId="6" borderId="5" xfId="0" applyFont="1" applyFill="1" applyBorder="1" applyAlignment="1">
      <alignment horizontal="center" vertical="center"/>
    </xf>
    <xf numFmtId="0" fontId="7" fillId="6" borderId="7" xfId="0" applyFont="1" applyFill="1" applyBorder="1" applyAlignment="1">
      <alignment vertical="center"/>
    </xf>
    <xf numFmtId="0" fontId="7" fillId="6" borderId="7" xfId="0" applyFont="1" applyFill="1" applyBorder="1" applyAlignment="1">
      <alignment horizontal="center" vertical="center"/>
    </xf>
    <xf numFmtId="0" fontId="1" fillId="6" borderId="7" xfId="0" applyFont="1" applyFill="1" applyBorder="1" applyAlignment="1">
      <alignment vertical="top"/>
    </xf>
    <xf numFmtId="0" fontId="0" fillId="6" borderId="0" xfId="0" applyFill="1"/>
    <xf numFmtId="0" fontId="6" fillId="3" borderId="5" xfId="0" applyFont="1" applyFill="1" applyBorder="1" applyAlignment="1">
      <alignment horizontal="center" vertical="center"/>
    </xf>
    <xf numFmtId="0" fontId="1" fillId="3" borderId="7" xfId="0" applyFont="1" applyFill="1" applyBorder="1" applyAlignment="1">
      <alignment vertical="top"/>
    </xf>
    <xf numFmtId="0" fontId="0" fillId="3" borderId="0" xfId="0" applyFill="1"/>
    <xf numFmtId="0" fontId="6" fillId="13" borderId="5" xfId="0" applyFont="1" applyFill="1" applyBorder="1" applyAlignment="1">
      <alignment horizontal="center" vertical="center"/>
    </xf>
    <xf numFmtId="0" fontId="7" fillId="13" borderId="7" xfId="0" applyFont="1" applyFill="1" applyBorder="1" applyAlignment="1">
      <alignment vertical="center"/>
    </xf>
    <xf numFmtId="0" fontId="7" fillId="13" borderId="7" xfId="0" applyFont="1" applyFill="1" applyBorder="1" applyAlignment="1">
      <alignment horizontal="center" vertical="center"/>
    </xf>
    <xf numFmtId="0" fontId="1" fillId="13" borderId="7" xfId="0" applyFont="1" applyFill="1" applyBorder="1" applyAlignment="1">
      <alignment vertical="top"/>
    </xf>
    <xf numFmtId="0" fontId="0" fillId="13" borderId="0" xfId="0" applyFill="1"/>
    <xf numFmtId="0" fontId="6" fillId="14" borderId="5" xfId="0" applyFont="1" applyFill="1" applyBorder="1" applyAlignment="1">
      <alignment horizontal="center" vertical="center"/>
    </xf>
    <xf numFmtId="0" fontId="7" fillId="14" borderId="7" xfId="0" applyFont="1" applyFill="1" applyBorder="1" applyAlignment="1">
      <alignment vertical="center"/>
    </xf>
    <xf numFmtId="0" fontId="7" fillId="14" borderId="7" xfId="0" applyFont="1" applyFill="1" applyBorder="1" applyAlignment="1">
      <alignment horizontal="center" vertical="center"/>
    </xf>
    <xf numFmtId="0" fontId="1" fillId="14" borderId="7" xfId="0" applyFont="1" applyFill="1" applyBorder="1" applyAlignment="1">
      <alignment vertical="top"/>
    </xf>
    <xf numFmtId="0" fontId="0" fillId="14" borderId="0" xfId="0" applyFill="1"/>
    <xf numFmtId="0" fontId="8" fillId="12" borderId="7" xfId="0" applyFont="1" applyFill="1" applyBorder="1" applyAlignment="1">
      <alignment vertical="center"/>
    </xf>
    <xf numFmtId="0" fontId="8" fillId="12" borderId="7" xfId="0" applyFont="1" applyFill="1" applyBorder="1" applyAlignment="1">
      <alignment horizontal="center" vertical="center"/>
    </xf>
    <xf numFmtId="0" fontId="6" fillId="15" borderId="5" xfId="0" applyFont="1" applyFill="1" applyBorder="1" applyAlignment="1">
      <alignment horizontal="center" vertical="center"/>
    </xf>
    <xf numFmtId="0" fontId="7" fillId="15" borderId="7" xfId="0" applyFont="1" applyFill="1" applyBorder="1" applyAlignment="1">
      <alignment vertical="center"/>
    </xf>
    <xf numFmtId="0" fontId="7" fillId="15" borderId="7" xfId="0" applyFont="1" applyFill="1" applyBorder="1" applyAlignment="1">
      <alignment horizontal="center" vertical="center"/>
    </xf>
    <xf numFmtId="0" fontId="1" fillId="15" borderId="7" xfId="0" applyFont="1" applyFill="1" applyBorder="1" applyAlignment="1">
      <alignment vertical="top"/>
    </xf>
    <xf numFmtId="0" fontId="0" fillId="15" borderId="0" xfId="0" applyFill="1"/>
    <xf numFmtId="0" fontId="6" fillId="16" borderId="5" xfId="0" applyFont="1" applyFill="1" applyBorder="1" applyAlignment="1">
      <alignment horizontal="center" vertical="center"/>
    </xf>
    <xf numFmtId="0" fontId="7" fillId="16" borderId="7" xfId="0" applyFont="1" applyFill="1" applyBorder="1" applyAlignment="1">
      <alignment vertical="center"/>
    </xf>
    <xf numFmtId="0" fontId="7" fillId="16" borderId="7" xfId="0" applyFont="1" applyFill="1" applyBorder="1" applyAlignment="1">
      <alignment horizontal="center" vertical="center"/>
    </xf>
    <xf numFmtId="0" fontId="1" fillId="16" borderId="7" xfId="0" applyFont="1" applyFill="1" applyBorder="1" applyAlignment="1">
      <alignment vertical="top"/>
    </xf>
    <xf numFmtId="0" fontId="0" fillId="16" borderId="0" xfId="0" applyFill="1"/>
    <xf numFmtId="0" fontId="6" fillId="4" borderId="5" xfId="0" applyFont="1" applyFill="1" applyBorder="1" applyAlignment="1">
      <alignment horizontal="center" vertical="center"/>
    </xf>
    <xf numFmtId="0" fontId="7" fillId="4" borderId="7" xfId="0" applyFont="1" applyFill="1" applyBorder="1" applyAlignment="1">
      <alignment vertical="center"/>
    </xf>
    <xf numFmtId="0" fontId="7" fillId="4" borderId="7" xfId="0" applyFont="1" applyFill="1" applyBorder="1" applyAlignment="1">
      <alignment horizontal="center" vertical="center"/>
    </xf>
    <xf numFmtId="0" fontId="1" fillId="4" borderId="7" xfId="0" applyFont="1" applyFill="1" applyBorder="1" applyAlignment="1">
      <alignment vertical="top"/>
    </xf>
    <xf numFmtId="0" fontId="0" fillId="4" borderId="0" xfId="0" applyFill="1"/>
    <xf numFmtId="0" fontId="6" fillId="17" borderId="5" xfId="0" applyFont="1" applyFill="1" applyBorder="1" applyAlignment="1">
      <alignment horizontal="center" vertical="center"/>
    </xf>
    <xf numFmtId="0" fontId="7" fillId="17" borderId="7" xfId="0" applyFont="1" applyFill="1" applyBorder="1" applyAlignment="1">
      <alignment vertical="center"/>
    </xf>
    <xf numFmtId="0" fontId="7" fillId="17" borderId="7" xfId="0" applyFont="1" applyFill="1" applyBorder="1" applyAlignment="1">
      <alignment horizontal="center" vertical="center"/>
    </xf>
    <xf numFmtId="0" fontId="1" fillId="17" borderId="7" xfId="0" applyFont="1" applyFill="1" applyBorder="1" applyAlignment="1">
      <alignment vertical="top"/>
    </xf>
    <xf numFmtId="0" fontId="0" fillId="17" borderId="0" xfId="0" applyFill="1"/>
    <xf numFmtId="0" fontId="1" fillId="17" borderId="7" xfId="0" applyFont="1" applyFill="1" applyBorder="1" applyAlignment="1">
      <alignment horizontal="center" vertical="top"/>
    </xf>
    <xf numFmtId="0" fontId="7" fillId="0" borderId="11" xfId="0" applyFont="1" applyBorder="1" applyAlignment="1">
      <alignment vertical="center"/>
    </xf>
    <xf numFmtId="0" fontId="15" fillId="0" borderId="0" xfId="0" applyFont="1"/>
    <xf numFmtId="1" fontId="15" fillId="0" borderId="0" xfId="2" applyNumberFormat="1" applyFont="1" applyAlignment="1">
      <alignment horizontal="left" vertical="center"/>
    </xf>
    <xf numFmtId="0" fontId="16" fillId="0" borderId="0" xfId="0" applyFont="1" applyAlignment="1">
      <alignment horizontal="center" vertical="center"/>
    </xf>
    <xf numFmtId="0" fontId="16" fillId="0" borderId="0" xfId="0" applyFont="1" applyAlignment="1">
      <alignment horizontal="left"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9" fillId="0" borderId="31" xfId="0" applyFont="1" applyBorder="1" applyAlignment="1">
      <alignment horizontal="center" vertical="center"/>
    </xf>
    <xf numFmtId="0" fontId="19" fillId="0" borderId="32" xfId="0" applyFont="1" applyBorder="1" applyAlignment="1">
      <alignment horizontal="center" vertical="center"/>
    </xf>
    <xf numFmtId="2" fontId="20" fillId="0" borderId="0" xfId="0" applyNumberFormat="1" applyFont="1" applyAlignment="1">
      <alignment horizontal="center" vertical="center"/>
    </xf>
    <xf numFmtId="43" fontId="0" fillId="0" borderId="0" xfId="0" applyNumberFormat="1"/>
    <xf numFmtId="0" fontId="20" fillId="0" borderId="0" xfId="0" applyFont="1" applyAlignment="1">
      <alignment horizontal="center" vertical="center"/>
    </xf>
    <xf numFmtId="0" fontId="20" fillId="0" borderId="0" xfId="0" applyFont="1"/>
    <xf numFmtId="0" fontId="0" fillId="0" borderId="0" xfId="0" applyAlignment="1">
      <alignment horizontal="center" vertical="center"/>
    </xf>
    <xf numFmtId="43" fontId="21" fillId="0" borderId="0" xfId="0" applyNumberFormat="1" applyFont="1"/>
    <xf numFmtId="0" fontId="22" fillId="0" borderId="0" xfId="0" applyFont="1"/>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26" xfId="0" applyFont="1" applyBorder="1" applyAlignment="1">
      <alignment horizontal="center" vertical="center"/>
    </xf>
    <xf numFmtId="0" fontId="15" fillId="0" borderId="0" xfId="0" applyFont="1" applyAlignment="1">
      <alignment horizontal="center" vertical="center" wrapText="1"/>
    </xf>
    <xf numFmtId="0" fontId="18" fillId="0" borderId="29" xfId="0" applyFont="1" applyBorder="1" applyAlignment="1">
      <alignment horizontal="center" vertical="center"/>
    </xf>
    <xf numFmtId="0" fontId="18" fillId="0" borderId="30" xfId="0" applyFont="1" applyBorder="1" applyAlignment="1">
      <alignment horizontal="center" vertical="center"/>
    </xf>
    <xf numFmtId="0" fontId="19" fillId="0" borderId="33" xfId="0" applyFont="1" applyBorder="1" applyAlignment="1">
      <alignment horizontal="center" vertical="center"/>
    </xf>
    <xf numFmtId="0" fontId="19" fillId="0" borderId="34" xfId="0" applyFon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H12" sqref="H12"/>
    </sheetView>
  </sheetViews>
  <sheetFormatPr defaultRowHeight="15" x14ac:dyDescent="0.25"/>
  <cols>
    <col min="2" max="2" width="12" bestFit="1" customWidth="1"/>
  </cols>
  <sheetData>
    <row r="1" spans="1:2" ht="15.75" thickBot="1" x14ac:dyDescent="0.3">
      <c r="A1" t="s">
        <v>0</v>
      </c>
    </row>
    <row r="2" spans="1:2" ht="16.5" thickBot="1" x14ac:dyDescent="0.3">
      <c r="A2" t="s">
        <v>5</v>
      </c>
      <c r="B2" s="1" t="s">
        <v>1</v>
      </c>
    </row>
    <row r="3" spans="1:2" ht="16.5" thickBot="1" x14ac:dyDescent="0.3">
      <c r="A3" t="s">
        <v>6</v>
      </c>
      <c r="B3" s="2" t="s">
        <v>2</v>
      </c>
    </row>
    <row r="4" spans="1:2" ht="16.5" thickBot="1" x14ac:dyDescent="0.3">
      <c r="A4" t="s">
        <v>7</v>
      </c>
      <c r="B4" s="2" t="s">
        <v>3</v>
      </c>
    </row>
    <row r="5" spans="1:2" ht="16.5" thickBot="1" x14ac:dyDescent="0.3">
      <c r="A5" t="s">
        <v>8</v>
      </c>
      <c r="B5" s="2" t="s">
        <v>4</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C12" sqref="C12"/>
    </sheetView>
  </sheetViews>
  <sheetFormatPr defaultColWidth="8.7109375" defaultRowHeight="15" x14ac:dyDescent="0.25"/>
  <cols>
    <col min="1" max="1" width="8.7109375" style="3"/>
    <col min="2" max="2" width="12.5703125" style="3" bestFit="1" customWidth="1"/>
    <col min="3" max="16384" width="8.7109375" style="3"/>
  </cols>
  <sheetData>
    <row r="1" spans="1:2" ht="15.75" thickBot="1" x14ac:dyDescent="0.3">
      <c r="A1" s="3" t="s">
        <v>19</v>
      </c>
    </row>
    <row r="2" spans="1:2" x14ac:dyDescent="0.25">
      <c r="A2" s="3" t="s">
        <v>20</v>
      </c>
      <c r="B2" s="4" t="s">
        <v>9</v>
      </c>
    </row>
    <row r="3" spans="1:2" ht="15.75" thickBot="1" x14ac:dyDescent="0.3">
      <c r="A3" s="3" t="s">
        <v>21</v>
      </c>
      <c r="B3" s="5" t="s">
        <v>10</v>
      </c>
    </row>
    <row r="4" spans="1:2" ht="15.75" thickBot="1" x14ac:dyDescent="0.3">
      <c r="A4" s="3" t="s">
        <v>22</v>
      </c>
      <c r="B4" s="5" t="s">
        <v>11</v>
      </c>
    </row>
    <row r="5" spans="1:2" ht="15.75" thickBot="1" x14ac:dyDescent="0.3">
      <c r="A5" s="3" t="s">
        <v>23</v>
      </c>
      <c r="B5" s="5" t="s">
        <v>12</v>
      </c>
    </row>
    <row r="6" spans="1:2" ht="15.75" thickBot="1" x14ac:dyDescent="0.3">
      <c r="A6" s="3" t="s">
        <v>24</v>
      </c>
      <c r="B6" s="5" t="s">
        <v>13</v>
      </c>
    </row>
    <row r="7" spans="1:2" ht="15.75" thickBot="1" x14ac:dyDescent="0.3">
      <c r="A7" s="3" t="s">
        <v>25</v>
      </c>
      <c r="B7" s="5" t="s">
        <v>14</v>
      </c>
    </row>
    <row r="8" spans="1:2" ht="15.75" thickBot="1" x14ac:dyDescent="0.3">
      <c r="A8" s="3" t="s">
        <v>26</v>
      </c>
      <c r="B8" s="5" t="s">
        <v>15</v>
      </c>
    </row>
    <row r="9" spans="1:2" ht="15.75" thickBot="1" x14ac:dyDescent="0.3">
      <c r="A9" s="3" t="s">
        <v>27</v>
      </c>
      <c r="B9" s="5" t="s">
        <v>16</v>
      </c>
    </row>
    <row r="10" spans="1:2" ht="15.75" thickBot="1" x14ac:dyDescent="0.3">
      <c r="A10" s="3" t="s">
        <v>28</v>
      </c>
      <c r="B10" s="5" t="s">
        <v>17</v>
      </c>
    </row>
    <row r="11" spans="1:2" ht="15.75" thickBot="1" x14ac:dyDescent="0.3">
      <c r="A11" s="3" t="s">
        <v>29</v>
      </c>
      <c r="B11" s="5" t="s">
        <v>18</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69"/>
  <sheetViews>
    <sheetView topLeftCell="A20" workbookViewId="0">
      <selection activeCell="C31" sqref="C31"/>
    </sheetView>
  </sheetViews>
  <sheetFormatPr defaultRowHeight="15" x14ac:dyDescent="0.25"/>
  <cols>
    <col min="3" max="3" width="38.5703125" bestFit="1" customWidth="1"/>
    <col min="5" max="5" width="11.42578125" customWidth="1"/>
    <col min="6" max="6" width="11.85546875" customWidth="1"/>
    <col min="7" max="7" width="12.42578125" customWidth="1"/>
    <col min="8" max="8" width="10.7109375" customWidth="1"/>
  </cols>
  <sheetData>
    <row r="1" spans="2:9" ht="15.75" thickBot="1" x14ac:dyDescent="0.3"/>
    <row r="2" spans="2:9" ht="15.75" thickBot="1" x14ac:dyDescent="0.3">
      <c r="B2" s="6" t="s">
        <v>30</v>
      </c>
      <c r="C2" s="7" t="s">
        <v>31</v>
      </c>
      <c r="D2" s="7" t="s">
        <v>32</v>
      </c>
      <c r="E2" s="16" t="s">
        <v>101</v>
      </c>
      <c r="F2" s="16" t="s">
        <v>102</v>
      </c>
      <c r="G2" s="16" t="s">
        <v>103</v>
      </c>
      <c r="H2" s="16" t="s">
        <v>104</v>
      </c>
      <c r="I2" s="16" t="s">
        <v>105</v>
      </c>
    </row>
    <row r="3" spans="2:9" ht="15.75" thickBot="1" x14ac:dyDescent="0.3">
      <c r="B3" s="8">
        <v>1</v>
      </c>
      <c r="C3" s="9" t="s">
        <v>34</v>
      </c>
      <c r="D3" s="10">
        <v>2</v>
      </c>
    </row>
    <row r="4" spans="2:9" ht="15.75" thickBot="1" x14ac:dyDescent="0.3">
      <c r="B4" s="8">
        <v>2</v>
      </c>
      <c r="C4" s="9" t="s">
        <v>35</v>
      </c>
      <c r="D4" s="10">
        <v>2</v>
      </c>
    </row>
    <row r="5" spans="2:9" ht="15.75" thickBot="1" x14ac:dyDescent="0.3">
      <c r="B5" s="8">
        <v>3</v>
      </c>
      <c r="C5" s="9" t="s">
        <v>36</v>
      </c>
      <c r="D5" s="10">
        <v>2</v>
      </c>
    </row>
    <row r="6" spans="2:9" ht="15.75" thickBot="1" x14ac:dyDescent="0.3">
      <c r="B6" s="8">
        <v>4</v>
      </c>
      <c r="C6" s="12" t="s">
        <v>37</v>
      </c>
      <c r="D6" s="10">
        <v>2</v>
      </c>
    </row>
    <row r="7" spans="2:9" ht="15.75" thickBot="1" x14ac:dyDescent="0.3">
      <c r="B7" s="8">
        <v>5</v>
      </c>
      <c r="C7" s="12" t="s">
        <v>38</v>
      </c>
      <c r="D7" s="10">
        <v>2</v>
      </c>
    </row>
    <row r="8" spans="2:9" ht="15.75" thickBot="1" x14ac:dyDescent="0.3">
      <c r="B8" s="8">
        <v>6</v>
      </c>
      <c r="C8" s="12" t="s">
        <v>39</v>
      </c>
      <c r="D8" s="10">
        <v>2</v>
      </c>
    </row>
    <row r="9" spans="2:9" ht="15.75" thickBot="1" x14ac:dyDescent="0.3">
      <c r="B9" s="8">
        <v>7</v>
      </c>
      <c r="C9" s="12" t="s">
        <v>40</v>
      </c>
      <c r="D9" s="10">
        <v>1</v>
      </c>
    </row>
    <row r="10" spans="2:9" ht="15.75" thickBot="1" x14ac:dyDescent="0.3">
      <c r="B10" s="8">
        <v>8</v>
      </c>
      <c r="C10" s="12" t="s">
        <v>41</v>
      </c>
      <c r="D10" s="10">
        <v>1</v>
      </c>
    </row>
    <row r="11" spans="2:9" ht="15.75" thickBot="1" x14ac:dyDescent="0.3">
      <c r="B11" s="8">
        <v>9</v>
      </c>
      <c r="C11" s="12" t="s">
        <v>42</v>
      </c>
      <c r="D11" s="10">
        <v>1</v>
      </c>
    </row>
    <row r="12" spans="2:9" ht="15.75" thickBot="1" x14ac:dyDescent="0.3">
      <c r="B12" s="8">
        <v>10</v>
      </c>
      <c r="C12" s="12" t="s">
        <v>43</v>
      </c>
      <c r="D12" s="10">
        <v>1</v>
      </c>
    </row>
    <row r="13" spans="2:9" ht="15.75" thickBot="1" x14ac:dyDescent="0.3">
      <c r="B13" s="8">
        <v>11</v>
      </c>
      <c r="C13" s="12" t="s">
        <v>44</v>
      </c>
      <c r="D13" s="10">
        <v>1</v>
      </c>
    </row>
    <row r="14" spans="2:9" ht="15.75" thickBot="1" x14ac:dyDescent="0.3">
      <c r="B14" s="8">
        <v>12</v>
      </c>
      <c r="C14" s="12" t="s">
        <v>45</v>
      </c>
      <c r="D14" s="10">
        <v>2</v>
      </c>
    </row>
    <row r="15" spans="2:9" ht="15.75" thickBot="1" x14ac:dyDescent="0.3">
      <c r="B15" s="8">
        <v>13</v>
      </c>
      <c r="C15" s="12" t="s">
        <v>46</v>
      </c>
      <c r="D15" s="10">
        <v>4</v>
      </c>
    </row>
    <row r="16" spans="2:9" ht="15.75" thickBot="1" x14ac:dyDescent="0.3">
      <c r="B16" s="8">
        <v>14</v>
      </c>
      <c r="C16" s="12" t="s">
        <v>47</v>
      </c>
      <c r="D16" s="10">
        <v>2</v>
      </c>
    </row>
    <row r="17" spans="2:9" ht="15.75" thickBot="1" x14ac:dyDescent="0.3">
      <c r="B17" s="8">
        <v>15</v>
      </c>
      <c r="C17" s="12" t="s">
        <v>48</v>
      </c>
      <c r="D17" s="10">
        <v>6</v>
      </c>
    </row>
    <row r="18" spans="2:9" ht="15.75" thickBot="1" x14ac:dyDescent="0.3">
      <c r="B18" s="13">
        <v>16</v>
      </c>
      <c r="C18" s="14" t="s">
        <v>100</v>
      </c>
      <c r="D18" s="10">
        <v>4</v>
      </c>
    </row>
    <row r="19" spans="2:9" ht="15.75" thickBot="1" x14ac:dyDescent="0.3">
      <c r="B19" s="8">
        <v>17</v>
      </c>
      <c r="C19" s="12" t="s">
        <v>49</v>
      </c>
      <c r="D19" s="10">
        <v>3</v>
      </c>
    </row>
    <row r="20" spans="2:9" ht="15.75" thickBot="1" x14ac:dyDescent="0.3">
      <c r="B20" s="8">
        <v>18</v>
      </c>
      <c r="C20" s="12" t="s">
        <v>50</v>
      </c>
      <c r="D20" s="10">
        <v>3</v>
      </c>
    </row>
    <row r="21" spans="2:9" ht="15.75" thickBot="1" x14ac:dyDescent="0.3">
      <c r="B21" s="8">
        <v>19</v>
      </c>
      <c r="C21" s="9" t="s">
        <v>51</v>
      </c>
      <c r="D21" s="10">
        <v>3</v>
      </c>
    </row>
    <row r="22" spans="2:9" ht="15.75" thickBot="1" x14ac:dyDescent="0.3">
      <c r="B22" s="8">
        <v>20</v>
      </c>
      <c r="C22" s="12" t="s">
        <v>52</v>
      </c>
      <c r="D22" s="10">
        <v>3</v>
      </c>
    </row>
    <row r="23" spans="2:9" ht="15.75" thickBot="1" x14ac:dyDescent="0.3">
      <c r="B23" s="8">
        <v>21</v>
      </c>
      <c r="C23" s="12" t="s">
        <v>53</v>
      </c>
      <c r="D23" s="10">
        <v>3</v>
      </c>
    </row>
    <row r="24" spans="2:9" ht="15.75" thickBot="1" x14ac:dyDescent="0.3">
      <c r="B24" s="8">
        <v>22</v>
      </c>
      <c r="C24" s="12" t="s">
        <v>54</v>
      </c>
      <c r="D24" s="10">
        <v>3</v>
      </c>
    </row>
    <row r="25" spans="2:9" ht="15.75" thickBot="1" x14ac:dyDescent="0.3">
      <c r="B25" s="8">
        <v>23</v>
      </c>
      <c r="C25" s="12" t="s">
        <v>55</v>
      </c>
      <c r="D25" s="10">
        <v>2</v>
      </c>
    </row>
    <row r="26" spans="2:9" ht="105.95" customHeight="1" thickBot="1" x14ac:dyDescent="0.3">
      <c r="B26" s="8">
        <v>24</v>
      </c>
      <c r="C26" s="12" t="s">
        <v>56</v>
      </c>
      <c r="D26" s="10">
        <v>2</v>
      </c>
      <c r="E26" s="19" t="s">
        <v>106</v>
      </c>
      <c r="F26" s="18" t="s">
        <v>107</v>
      </c>
      <c r="G26" s="17" t="s">
        <v>108</v>
      </c>
      <c r="H26" s="17" t="s">
        <v>109</v>
      </c>
      <c r="I26" s="17" t="s">
        <v>110</v>
      </c>
    </row>
    <row r="27" spans="2:9" ht="15.75" thickBot="1" x14ac:dyDescent="0.3">
      <c r="B27" s="8">
        <v>25</v>
      </c>
      <c r="C27" s="12" t="s">
        <v>57</v>
      </c>
      <c r="D27" s="10">
        <v>3</v>
      </c>
    </row>
    <row r="28" spans="2:9" ht="15.75" thickBot="1" x14ac:dyDescent="0.3">
      <c r="B28" s="8">
        <v>26</v>
      </c>
      <c r="C28" s="12" t="s">
        <v>58</v>
      </c>
      <c r="D28" s="10">
        <v>2</v>
      </c>
    </row>
    <row r="29" spans="2:9" ht="15.75" thickBot="1" x14ac:dyDescent="0.3">
      <c r="B29" s="8">
        <v>27</v>
      </c>
      <c r="C29" s="12" t="s">
        <v>59</v>
      </c>
      <c r="D29" s="10">
        <v>3</v>
      </c>
    </row>
    <row r="30" spans="2:9" ht="15.75" thickBot="1" x14ac:dyDescent="0.3">
      <c r="B30" s="8">
        <v>28</v>
      </c>
      <c r="C30" s="12" t="s">
        <v>60</v>
      </c>
      <c r="D30" s="10">
        <v>2</v>
      </c>
    </row>
    <row r="31" spans="2:9" ht="15.75" thickBot="1" x14ac:dyDescent="0.3">
      <c r="B31" s="8">
        <v>29</v>
      </c>
      <c r="C31" s="9" t="s">
        <v>61</v>
      </c>
      <c r="D31" s="10">
        <v>2</v>
      </c>
    </row>
    <row r="32" spans="2:9" ht="15.75" thickBot="1" x14ac:dyDescent="0.3">
      <c r="B32" s="8">
        <v>30</v>
      </c>
      <c r="C32" s="12" t="s">
        <v>62</v>
      </c>
      <c r="D32" s="10">
        <v>2</v>
      </c>
    </row>
    <row r="33" spans="2:4" ht="15.75" thickBot="1" x14ac:dyDescent="0.3">
      <c r="B33" s="8">
        <v>31</v>
      </c>
      <c r="C33" s="12" t="s">
        <v>63</v>
      </c>
      <c r="D33" s="10">
        <v>2</v>
      </c>
    </row>
    <row r="34" spans="2:4" ht="15.75" thickBot="1" x14ac:dyDescent="0.3">
      <c r="B34" s="8">
        <v>32</v>
      </c>
      <c r="C34" s="12" t="s">
        <v>64</v>
      </c>
      <c r="D34" s="10">
        <v>2</v>
      </c>
    </row>
    <row r="35" spans="2:4" ht="15.75" thickBot="1" x14ac:dyDescent="0.3">
      <c r="B35" s="8">
        <v>33</v>
      </c>
      <c r="C35" s="12" t="s">
        <v>65</v>
      </c>
      <c r="D35" s="10">
        <v>2</v>
      </c>
    </row>
    <row r="36" spans="2:4" ht="15.75" thickBot="1" x14ac:dyDescent="0.3">
      <c r="B36" s="8">
        <v>34</v>
      </c>
      <c r="C36" s="9" t="s">
        <v>66</v>
      </c>
      <c r="D36" s="10">
        <v>2</v>
      </c>
    </row>
    <row r="37" spans="2:4" ht="15.75" thickBot="1" x14ac:dyDescent="0.3">
      <c r="B37" s="8">
        <v>35</v>
      </c>
      <c r="C37" s="9" t="s">
        <v>67</v>
      </c>
      <c r="D37" s="10">
        <v>2</v>
      </c>
    </row>
    <row r="38" spans="2:4" ht="15.75" thickBot="1" x14ac:dyDescent="0.3">
      <c r="B38" s="8">
        <v>36</v>
      </c>
      <c r="C38" s="9" t="s">
        <v>68</v>
      </c>
      <c r="D38" s="10">
        <v>2</v>
      </c>
    </row>
    <row r="39" spans="2:4" ht="15.75" thickBot="1" x14ac:dyDescent="0.3">
      <c r="B39" s="8">
        <v>37</v>
      </c>
      <c r="C39" s="9" t="s">
        <v>69</v>
      </c>
      <c r="D39" s="10">
        <v>2</v>
      </c>
    </row>
    <row r="40" spans="2:4" ht="15.75" thickBot="1" x14ac:dyDescent="0.3">
      <c r="B40" s="8">
        <v>38</v>
      </c>
      <c r="C40" s="9" t="s">
        <v>70</v>
      </c>
      <c r="D40" s="10">
        <v>2</v>
      </c>
    </row>
    <row r="41" spans="2:4" ht="15.75" thickBot="1" x14ac:dyDescent="0.3">
      <c r="B41" s="8">
        <v>39</v>
      </c>
      <c r="C41" s="9" t="s">
        <v>71</v>
      </c>
      <c r="D41" s="10">
        <v>2</v>
      </c>
    </row>
    <row r="42" spans="2:4" ht="15.75" thickBot="1" x14ac:dyDescent="0.3">
      <c r="B42" s="8">
        <v>40</v>
      </c>
      <c r="C42" s="9" t="s">
        <v>72</v>
      </c>
      <c r="D42" s="10">
        <v>2</v>
      </c>
    </row>
    <row r="43" spans="2:4" ht="15.75" thickBot="1" x14ac:dyDescent="0.3">
      <c r="B43" s="8">
        <v>41</v>
      </c>
      <c r="C43" s="9" t="s">
        <v>73</v>
      </c>
      <c r="D43" s="10">
        <v>2</v>
      </c>
    </row>
    <row r="44" spans="2:4" ht="15.75" thickBot="1" x14ac:dyDescent="0.3">
      <c r="B44" s="8">
        <v>42</v>
      </c>
      <c r="C44" s="9" t="s">
        <v>74</v>
      </c>
      <c r="D44" s="10">
        <v>2</v>
      </c>
    </row>
    <row r="45" spans="2:4" ht="15.75" thickBot="1" x14ac:dyDescent="0.3">
      <c r="B45" s="8">
        <v>43</v>
      </c>
      <c r="C45" s="9" t="s">
        <v>75</v>
      </c>
      <c r="D45" s="10">
        <v>2</v>
      </c>
    </row>
    <row r="46" spans="2:4" ht="15.75" thickBot="1" x14ac:dyDescent="0.3">
      <c r="B46" s="8">
        <v>44</v>
      </c>
      <c r="C46" s="9" t="s">
        <v>76</v>
      </c>
      <c r="D46" s="10">
        <v>2</v>
      </c>
    </row>
    <row r="47" spans="2:4" ht="15.75" thickBot="1" x14ac:dyDescent="0.3">
      <c r="B47" s="8">
        <v>45</v>
      </c>
      <c r="C47" s="9" t="s">
        <v>77</v>
      </c>
      <c r="D47" s="10">
        <v>2</v>
      </c>
    </row>
    <row r="48" spans="2:4" ht="15.75" thickBot="1" x14ac:dyDescent="0.3">
      <c r="B48" s="8">
        <v>46</v>
      </c>
      <c r="C48" s="9" t="s">
        <v>78</v>
      </c>
      <c r="D48" s="10">
        <v>2</v>
      </c>
    </row>
    <row r="49" spans="2:4" ht="15.75" thickBot="1" x14ac:dyDescent="0.3">
      <c r="B49" s="8">
        <v>47</v>
      </c>
      <c r="C49" s="9" t="s">
        <v>79</v>
      </c>
      <c r="D49" s="10">
        <v>2</v>
      </c>
    </row>
    <row r="50" spans="2:4" ht="15.75" thickBot="1" x14ac:dyDescent="0.3">
      <c r="B50" s="8">
        <v>48</v>
      </c>
      <c r="C50" s="9" t="s">
        <v>80</v>
      </c>
      <c r="D50" s="10">
        <v>2</v>
      </c>
    </row>
    <row r="51" spans="2:4" ht="15.75" thickBot="1" x14ac:dyDescent="0.3">
      <c r="B51" s="8">
        <v>49</v>
      </c>
      <c r="C51" s="9" t="s">
        <v>81</v>
      </c>
      <c r="D51" s="10">
        <v>2</v>
      </c>
    </row>
    <row r="52" spans="2:4" ht="15.75" thickBot="1" x14ac:dyDescent="0.3">
      <c r="B52" s="8">
        <v>50</v>
      </c>
      <c r="C52" s="9" t="s">
        <v>82</v>
      </c>
      <c r="D52" s="10">
        <v>2</v>
      </c>
    </row>
    <row r="53" spans="2:4" ht="15.75" thickBot="1" x14ac:dyDescent="0.3">
      <c r="B53" s="8">
        <v>51</v>
      </c>
      <c r="C53" s="9" t="s">
        <v>83</v>
      </c>
      <c r="D53" s="10">
        <v>2</v>
      </c>
    </row>
    <row r="54" spans="2:4" ht="15.75" thickBot="1" x14ac:dyDescent="0.3">
      <c r="B54" s="8">
        <v>52</v>
      </c>
      <c r="C54" s="9" t="s">
        <v>84</v>
      </c>
      <c r="D54" s="10">
        <v>2</v>
      </c>
    </row>
    <row r="55" spans="2:4" ht="15.75" thickBot="1" x14ac:dyDescent="0.3">
      <c r="B55" s="8">
        <v>53</v>
      </c>
      <c r="C55" s="9" t="s">
        <v>85</v>
      </c>
      <c r="D55" s="10">
        <v>2</v>
      </c>
    </row>
    <row r="56" spans="2:4" ht="15.75" thickBot="1" x14ac:dyDescent="0.3">
      <c r="B56" s="8">
        <v>54</v>
      </c>
      <c r="C56" s="9" t="s">
        <v>86</v>
      </c>
      <c r="D56" s="10">
        <v>2</v>
      </c>
    </row>
    <row r="57" spans="2:4" ht="15.75" thickBot="1" x14ac:dyDescent="0.3">
      <c r="B57" s="8">
        <v>55</v>
      </c>
      <c r="C57" s="9" t="s">
        <v>87</v>
      </c>
      <c r="D57" s="10">
        <v>2</v>
      </c>
    </row>
    <row r="58" spans="2:4" ht="15.75" thickBot="1" x14ac:dyDescent="0.3">
      <c r="B58" s="8">
        <v>56</v>
      </c>
      <c r="C58" s="9" t="s">
        <v>88</v>
      </c>
      <c r="D58" s="10">
        <v>3</v>
      </c>
    </row>
    <row r="59" spans="2:4" ht="15.75" thickBot="1" x14ac:dyDescent="0.3">
      <c r="B59" s="8">
        <v>57</v>
      </c>
      <c r="C59" s="9" t="s">
        <v>89</v>
      </c>
      <c r="D59" s="10">
        <v>2</v>
      </c>
    </row>
    <row r="60" spans="2:4" ht="15.75" thickBot="1" x14ac:dyDescent="0.3">
      <c r="B60" s="8">
        <v>58</v>
      </c>
      <c r="C60" s="9" t="s">
        <v>90</v>
      </c>
      <c r="D60" s="10">
        <v>2</v>
      </c>
    </row>
    <row r="61" spans="2:4" ht="15.75" thickBot="1" x14ac:dyDescent="0.3">
      <c r="B61" s="8">
        <v>59</v>
      </c>
      <c r="C61" s="9" t="s">
        <v>91</v>
      </c>
      <c r="D61" s="10">
        <v>2</v>
      </c>
    </row>
    <row r="62" spans="2:4" ht="15.75" thickBot="1" x14ac:dyDescent="0.3">
      <c r="B62" s="8">
        <v>60</v>
      </c>
      <c r="C62" s="9" t="s">
        <v>92</v>
      </c>
      <c r="D62" s="10">
        <v>2</v>
      </c>
    </row>
    <row r="63" spans="2:4" ht="15.75" thickBot="1" x14ac:dyDescent="0.3">
      <c r="B63" s="8">
        <v>61</v>
      </c>
      <c r="C63" s="9" t="s">
        <v>93</v>
      </c>
      <c r="D63" s="10">
        <v>2</v>
      </c>
    </row>
    <row r="64" spans="2:4" ht="15.75" thickBot="1" x14ac:dyDescent="0.3">
      <c r="B64" s="8">
        <v>62</v>
      </c>
      <c r="C64" s="9" t="s">
        <v>94</v>
      </c>
      <c r="D64" s="10">
        <v>2</v>
      </c>
    </row>
    <row r="65" spans="2:4" ht="15.75" thickBot="1" x14ac:dyDescent="0.3">
      <c r="B65" s="8">
        <v>63</v>
      </c>
      <c r="C65" s="9" t="s">
        <v>95</v>
      </c>
      <c r="D65" s="10">
        <v>2</v>
      </c>
    </row>
    <row r="66" spans="2:4" ht="15.75" thickBot="1" x14ac:dyDescent="0.3">
      <c r="B66" s="8">
        <v>64</v>
      </c>
      <c r="C66" s="9" t="s">
        <v>96</v>
      </c>
      <c r="D66" s="10">
        <v>2</v>
      </c>
    </row>
    <row r="67" spans="2:4" ht="15.75" thickBot="1" x14ac:dyDescent="0.3">
      <c r="B67" s="8">
        <v>65</v>
      </c>
      <c r="C67" s="9" t="s">
        <v>97</v>
      </c>
      <c r="D67" s="10">
        <v>2</v>
      </c>
    </row>
    <row r="68" spans="2:4" ht="15.75" thickBot="1" x14ac:dyDescent="0.3">
      <c r="B68" s="8">
        <v>66</v>
      </c>
      <c r="C68" s="9" t="s">
        <v>98</v>
      </c>
      <c r="D68" s="10">
        <v>2</v>
      </c>
    </row>
    <row r="69" spans="2:4" ht="15.75" thickBot="1" x14ac:dyDescent="0.3">
      <c r="B69" s="147" t="s">
        <v>99</v>
      </c>
      <c r="C69" s="148"/>
      <c r="D69" s="15">
        <v>144</v>
      </c>
    </row>
  </sheetData>
  <mergeCells count="1">
    <mergeCell ref="B69:C69"/>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32"/>
  <sheetViews>
    <sheetView topLeftCell="A45" workbookViewId="0">
      <selection activeCell="F47" sqref="F47"/>
    </sheetView>
  </sheetViews>
  <sheetFormatPr defaultColWidth="8.7109375" defaultRowHeight="14.25" x14ac:dyDescent="0.2"/>
  <cols>
    <col min="1" max="1" width="8.7109375" style="21"/>
    <col min="2" max="2" width="21.42578125" style="20" customWidth="1"/>
    <col min="3" max="3" width="32" style="20" customWidth="1"/>
    <col min="4" max="4" width="21.140625" style="30" customWidth="1"/>
    <col min="5" max="5" width="23.42578125" style="30" customWidth="1"/>
    <col min="6" max="6" width="24.42578125" style="30" customWidth="1"/>
    <col min="7" max="16384" width="8.7109375" style="21"/>
  </cols>
  <sheetData>
    <row r="2" spans="2:6" ht="15" thickBot="1" x14ac:dyDescent="0.25"/>
    <row r="3" spans="2:6" ht="15" thickBot="1" x14ac:dyDescent="0.25">
      <c r="B3" s="22" t="s">
        <v>31</v>
      </c>
      <c r="C3" s="23" t="s">
        <v>112</v>
      </c>
      <c r="D3" s="31" t="s">
        <v>111</v>
      </c>
      <c r="E3" s="31" t="s">
        <v>111</v>
      </c>
      <c r="F3" s="32" t="s">
        <v>111</v>
      </c>
    </row>
    <row r="4" spans="2:6" ht="25.5" x14ac:dyDescent="0.2">
      <c r="B4" s="24" t="s">
        <v>34</v>
      </c>
      <c r="C4" s="25"/>
      <c r="D4" s="33"/>
      <c r="E4" s="33"/>
      <c r="F4" s="34"/>
    </row>
    <row r="5" spans="2:6" ht="15" x14ac:dyDescent="0.2">
      <c r="B5" s="26" t="s">
        <v>35</v>
      </c>
      <c r="C5" s="27"/>
      <c r="D5" s="35"/>
      <c r="E5" s="35"/>
      <c r="F5" s="36"/>
    </row>
    <row r="6" spans="2:6" ht="15" x14ac:dyDescent="0.2">
      <c r="B6" s="26" t="s">
        <v>36</v>
      </c>
      <c r="C6" s="27"/>
      <c r="D6" s="35"/>
      <c r="E6" s="35"/>
      <c r="F6" s="36"/>
    </row>
    <row r="7" spans="2:6" ht="15" x14ac:dyDescent="0.2">
      <c r="B7" s="28" t="s">
        <v>37</v>
      </c>
      <c r="C7" s="27"/>
      <c r="D7" s="35"/>
      <c r="E7" s="35"/>
      <c r="F7" s="36"/>
    </row>
    <row r="8" spans="2:6" ht="25.5" x14ac:dyDescent="0.2">
      <c r="B8" s="28" t="s">
        <v>38</v>
      </c>
      <c r="C8" s="27"/>
      <c r="D8" s="35"/>
      <c r="E8" s="35"/>
      <c r="F8" s="36"/>
    </row>
    <row r="9" spans="2:6" x14ac:dyDescent="0.2">
      <c r="B9" s="28" t="s">
        <v>39</v>
      </c>
      <c r="C9" s="29"/>
      <c r="D9" s="35"/>
      <c r="E9" s="35"/>
      <c r="F9" s="36"/>
    </row>
    <row r="10" spans="2:6" ht="25.5" x14ac:dyDescent="0.2">
      <c r="B10" s="28" t="s">
        <v>40</v>
      </c>
      <c r="C10" s="29"/>
      <c r="D10" s="35"/>
      <c r="E10" s="35"/>
      <c r="F10" s="36"/>
    </row>
    <row r="11" spans="2:6" ht="25.5" x14ac:dyDescent="0.2">
      <c r="B11" s="28" t="s">
        <v>41</v>
      </c>
      <c r="C11" s="29"/>
      <c r="D11" s="35"/>
      <c r="E11" s="35"/>
      <c r="F11" s="36"/>
    </row>
    <row r="12" spans="2:6" ht="38.25" x14ac:dyDescent="0.2">
      <c r="B12" s="28" t="s">
        <v>42</v>
      </c>
      <c r="C12" s="29"/>
      <c r="D12" s="35"/>
      <c r="E12" s="35"/>
      <c r="F12" s="36"/>
    </row>
    <row r="13" spans="2:6" ht="25.5" x14ac:dyDescent="0.2">
      <c r="B13" s="28" t="s">
        <v>43</v>
      </c>
      <c r="C13" s="29"/>
      <c r="D13" s="35"/>
      <c r="E13" s="35"/>
      <c r="F13" s="36"/>
    </row>
    <row r="14" spans="2:6" ht="25.5" x14ac:dyDescent="0.2">
      <c r="B14" s="28" t="s">
        <v>44</v>
      </c>
      <c r="C14" s="29"/>
      <c r="D14" s="35"/>
      <c r="E14" s="35"/>
      <c r="F14" s="36"/>
    </row>
    <row r="15" spans="2:6" x14ac:dyDescent="0.2">
      <c r="B15" s="28" t="s">
        <v>45</v>
      </c>
      <c r="C15" s="29"/>
      <c r="D15" s="35"/>
      <c r="E15" s="35"/>
      <c r="F15" s="36"/>
    </row>
    <row r="16" spans="2:6" x14ac:dyDescent="0.2">
      <c r="B16" s="28" t="s">
        <v>46</v>
      </c>
      <c r="C16" s="29"/>
      <c r="D16" s="35"/>
      <c r="E16" s="35"/>
      <c r="F16" s="36"/>
    </row>
    <row r="17" spans="2:6" ht="25.5" x14ac:dyDescent="0.2">
      <c r="B17" s="28" t="s">
        <v>47</v>
      </c>
      <c r="C17" s="29"/>
      <c r="D17" s="35"/>
      <c r="E17" s="35"/>
      <c r="F17" s="36"/>
    </row>
    <row r="18" spans="2:6" x14ac:dyDescent="0.2">
      <c r="B18" s="28"/>
      <c r="C18" s="29"/>
      <c r="D18" s="35"/>
      <c r="E18" s="35"/>
      <c r="F18" s="36"/>
    </row>
    <row r="19" spans="2:6" x14ac:dyDescent="0.2">
      <c r="B19" s="28"/>
      <c r="C19" s="29"/>
      <c r="D19" s="35"/>
      <c r="E19" s="35"/>
      <c r="F19" s="36"/>
    </row>
    <row r="20" spans="2:6" x14ac:dyDescent="0.2">
      <c r="B20" s="28"/>
      <c r="C20" s="29"/>
      <c r="D20" s="35"/>
      <c r="E20" s="35"/>
      <c r="F20" s="36"/>
    </row>
    <row r="21" spans="2:6" x14ac:dyDescent="0.2">
      <c r="B21" s="28"/>
      <c r="C21" s="29"/>
      <c r="D21" s="35"/>
      <c r="E21" s="35"/>
      <c r="F21" s="36"/>
    </row>
    <row r="22" spans="2:6" x14ac:dyDescent="0.2">
      <c r="B22" s="41"/>
      <c r="C22" s="42"/>
      <c r="D22" s="43"/>
      <c r="E22" s="43"/>
      <c r="F22" s="44"/>
    </row>
    <row r="23" spans="2:6" ht="87.6" customHeight="1" x14ac:dyDescent="0.2">
      <c r="B23" s="149" t="s">
        <v>48</v>
      </c>
      <c r="C23" s="37" t="s">
        <v>351</v>
      </c>
      <c r="D23" s="37" t="s">
        <v>361</v>
      </c>
      <c r="E23" s="37" t="s">
        <v>362</v>
      </c>
      <c r="F23" s="38" t="s">
        <v>363</v>
      </c>
    </row>
    <row r="24" spans="2:6" ht="85.5" x14ac:dyDescent="0.2">
      <c r="B24" s="149"/>
      <c r="C24" s="37" t="s">
        <v>352</v>
      </c>
      <c r="D24" s="37" t="s">
        <v>364</v>
      </c>
      <c r="E24" s="37" t="s">
        <v>365</v>
      </c>
      <c r="F24" s="38" t="s">
        <v>366</v>
      </c>
    </row>
    <row r="25" spans="2:6" ht="85.5" x14ac:dyDescent="0.2">
      <c r="B25" s="149"/>
      <c r="C25" s="37" t="s">
        <v>353</v>
      </c>
      <c r="D25" s="37" t="s">
        <v>367</v>
      </c>
      <c r="E25" s="37" t="s">
        <v>368</v>
      </c>
      <c r="F25" s="38" t="s">
        <v>369</v>
      </c>
    </row>
    <row r="26" spans="2:6" ht="99.75" x14ac:dyDescent="0.2">
      <c r="B26" s="149"/>
      <c r="C26" s="37" t="s">
        <v>354</v>
      </c>
      <c r="D26" s="37" t="s">
        <v>370</v>
      </c>
      <c r="E26" s="37" t="s">
        <v>371</v>
      </c>
      <c r="F26" s="38" t="s">
        <v>372</v>
      </c>
    </row>
    <row r="27" spans="2:6" ht="99.75" x14ac:dyDescent="0.2">
      <c r="B27" s="149"/>
      <c r="C27" s="37" t="s">
        <v>355</v>
      </c>
      <c r="D27" s="37" t="s">
        <v>373</v>
      </c>
      <c r="E27" s="37" t="s">
        <v>374</v>
      </c>
      <c r="F27" s="38" t="s">
        <v>375</v>
      </c>
    </row>
    <row r="28" spans="2:6" ht="114" x14ac:dyDescent="0.2">
      <c r="B28" s="149"/>
      <c r="C28" s="37" t="s">
        <v>356</v>
      </c>
      <c r="D28" s="37" t="s">
        <v>376</v>
      </c>
      <c r="E28" s="37" t="s">
        <v>377</v>
      </c>
      <c r="F28" s="38" t="s">
        <v>378</v>
      </c>
    </row>
    <row r="29" spans="2:6" ht="99.75" x14ac:dyDescent="0.2">
      <c r="B29" s="149"/>
      <c r="C29" s="37" t="s">
        <v>357</v>
      </c>
      <c r="D29" s="37" t="s">
        <v>379</v>
      </c>
      <c r="E29" s="37" t="s">
        <v>380</v>
      </c>
      <c r="F29" s="38" t="s">
        <v>381</v>
      </c>
    </row>
    <row r="30" spans="2:6" x14ac:dyDescent="0.2">
      <c r="B30" s="45"/>
      <c r="C30" s="37"/>
      <c r="D30" s="37"/>
      <c r="E30" s="37"/>
      <c r="F30" s="38"/>
    </row>
    <row r="31" spans="2:6" ht="128.25" x14ac:dyDescent="0.2">
      <c r="B31" s="149" t="s">
        <v>100</v>
      </c>
      <c r="C31" s="37" t="s">
        <v>344</v>
      </c>
      <c r="D31" s="37" t="s">
        <v>382</v>
      </c>
      <c r="E31" s="37" t="s">
        <v>383</v>
      </c>
      <c r="F31" s="38" t="s">
        <v>384</v>
      </c>
    </row>
    <row r="32" spans="2:6" ht="99.75" x14ac:dyDescent="0.2">
      <c r="B32" s="149"/>
      <c r="C32" s="37" t="s">
        <v>345</v>
      </c>
      <c r="D32" s="37" t="s">
        <v>385</v>
      </c>
      <c r="E32" s="37" t="s">
        <v>386</v>
      </c>
      <c r="F32" s="38" t="s">
        <v>387</v>
      </c>
    </row>
    <row r="33" spans="2:6" ht="128.25" x14ac:dyDescent="0.2">
      <c r="B33" s="149"/>
      <c r="C33" s="37" t="s">
        <v>346</v>
      </c>
      <c r="D33" s="37" t="s">
        <v>388</v>
      </c>
      <c r="E33" s="37" t="s">
        <v>389</v>
      </c>
      <c r="F33" s="38" t="s">
        <v>390</v>
      </c>
    </row>
    <row r="34" spans="2:6" ht="85.5" x14ac:dyDescent="0.2">
      <c r="B34" s="149"/>
      <c r="C34" s="37" t="s">
        <v>347</v>
      </c>
      <c r="D34" s="37" t="s">
        <v>391</v>
      </c>
      <c r="E34" s="37" t="s">
        <v>392</v>
      </c>
      <c r="F34" s="38" t="s">
        <v>393</v>
      </c>
    </row>
    <row r="35" spans="2:6" ht="99.75" x14ac:dyDescent="0.2">
      <c r="B35" s="149"/>
      <c r="C35" s="37" t="s">
        <v>348</v>
      </c>
      <c r="D35" s="37" t="s">
        <v>394</v>
      </c>
      <c r="E35" s="37" t="s">
        <v>395</v>
      </c>
      <c r="F35" s="38" t="s">
        <v>396</v>
      </c>
    </row>
    <row r="36" spans="2:6" ht="99.75" x14ac:dyDescent="0.2">
      <c r="B36" s="149"/>
      <c r="C36" s="37" t="s">
        <v>349</v>
      </c>
      <c r="D36" s="37" t="s">
        <v>397</v>
      </c>
      <c r="E36" s="37" t="s">
        <v>398</v>
      </c>
      <c r="F36" s="38" t="s">
        <v>399</v>
      </c>
    </row>
    <row r="37" spans="2:6" ht="114" x14ac:dyDescent="0.2">
      <c r="B37" s="149"/>
      <c r="C37" s="37" t="s">
        <v>350</v>
      </c>
      <c r="D37" s="37" t="s">
        <v>400</v>
      </c>
      <c r="E37" s="37" t="s">
        <v>401</v>
      </c>
      <c r="F37" s="38" t="s">
        <v>402</v>
      </c>
    </row>
    <row r="38" spans="2:6" x14ac:dyDescent="0.2">
      <c r="B38" s="45"/>
      <c r="C38" s="37"/>
      <c r="D38" s="37"/>
      <c r="E38" s="37"/>
      <c r="F38" s="38"/>
    </row>
    <row r="39" spans="2:6" ht="99.75" x14ac:dyDescent="0.2">
      <c r="B39" s="149" t="s">
        <v>49</v>
      </c>
      <c r="C39" s="37" t="s">
        <v>358</v>
      </c>
      <c r="D39" s="37" t="s">
        <v>403</v>
      </c>
      <c r="E39" s="37" t="s">
        <v>404</v>
      </c>
      <c r="F39" s="38" t="s">
        <v>405</v>
      </c>
    </row>
    <row r="40" spans="2:6" ht="114" x14ac:dyDescent="0.2">
      <c r="B40" s="149"/>
      <c r="C40" s="37" t="s">
        <v>359</v>
      </c>
      <c r="D40" s="37" t="s">
        <v>406</v>
      </c>
      <c r="E40" s="37" t="s">
        <v>407</v>
      </c>
      <c r="F40" s="38" t="s">
        <v>408</v>
      </c>
    </row>
    <row r="41" spans="2:6" ht="99.75" x14ac:dyDescent="0.2">
      <c r="B41" s="149"/>
      <c r="C41" s="37" t="s">
        <v>360</v>
      </c>
      <c r="D41" s="37" t="s">
        <v>409</v>
      </c>
      <c r="E41" s="37" t="s">
        <v>410</v>
      </c>
      <c r="F41" s="38" t="s">
        <v>411</v>
      </c>
    </row>
    <row r="42" spans="2:6" x14ac:dyDescent="0.2">
      <c r="B42" s="45"/>
      <c r="C42" s="37"/>
      <c r="D42" s="37"/>
      <c r="E42" s="37"/>
      <c r="F42" s="38"/>
    </row>
    <row r="43" spans="2:6" ht="114" x14ac:dyDescent="0.2">
      <c r="B43" s="149" t="s">
        <v>50</v>
      </c>
      <c r="C43" s="37" t="s">
        <v>303</v>
      </c>
      <c r="D43" s="37" t="s">
        <v>412</v>
      </c>
      <c r="E43" s="37" t="s">
        <v>413</v>
      </c>
      <c r="F43" s="38" t="s">
        <v>414</v>
      </c>
    </row>
    <row r="44" spans="2:6" ht="99.75" x14ac:dyDescent="0.2">
      <c r="B44" s="149"/>
      <c r="C44" s="37" t="s">
        <v>304</v>
      </c>
      <c r="D44" s="37" t="s">
        <v>415</v>
      </c>
      <c r="E44" s="37" t="s">
        <v>416</v>
      </c>
      <c r="F44" s="38" t="s">
        <v>417</v>
      </c>
    </row>
    <row r="45" spans="2:6" ht="114" x14ac:dyDescent="0.2">
      <c r="B45" s="149"/>
      <c r="C45" s="37" t="s">
        <v>305</v>
      </c>
      <c r="D45" s="37" t="s">
        <v>418</v>
      </c>
      <c r="E45" s="37" t="s">
        <v>419</v>
      </c>
      <c r="F45" s="38" t="s">
        <v>420</v>
      </c>
    </row>
    <row r="46" spans="2:6" ht="99.75" x14ac:dyDescent="0.2">
      <c r="B46" s="149"/>
      <c r="C46" s="37" t="s">
        <v>306</v>
      </c>
      <c r="D46" s="37" t="s">
        <v>421</v>
      </c>
      <c r="E46" s="37" t="s">
        <v>422</v>
      </c>
      <c r="F46" s="38" t="s">
        <v>423</v>
      </c>
    </row>
    <row r="47" spans="2:6" ht="114" x14ac:dyDescent="0.2">
      <c r="B47" s="149"/>
      <c r="C47" s="37" t="s">
        <v>307</v>
      </c>
      <c r="D47" s="37" t="s">
        <v>424</v>
      </c>
      <c r="E47" s="37" t="s">
        <v>425</v>
      </c>
      <c r="F47" s="38" t="s">
        <v>426</v>
      </c>
    </row>
    <row r="48" spans="2:6" x14ac:dyDescent="0.2">
      <c r="B48" s="45"/>
      <c r="C48" s="37"/>
      <c r="D48" s="37"/>
      <c r="E48" s="37"/>
      <c r="F48" s="38"/>
    </row>
    <row r="49" spans="2:6" ht="114" x14ac:dyDescent="0.2">
      <c r="B49" s="150" t="s">
        <v>51</v>
      </c>
      <c r="C49" s="37" t="s">
        <v>313</v>
      </c>
      <c r="D49" s="37" t="s">
        <v>427</v>
      </c>
      <c r="E49" s="37" t="s">
        <v>1117</v>
      </c>
      <c r="F49" s="38" t="s">
        <v>1118</v>
      </c>
    </row>
    <row r="50" spans="2:6" ht="128.25" x14ac:dyDescent="0.2">
      <c r="B50" s="150"/>
      <c r="C50" s="37" t="s">
        <v>314</v>
      </c>
      <c r="D50" s="37" t="s">
        <v>1119</v>
      </c>
      <c r="E50" s="37" t="s">
        <v>1120</v>
      </c>
      <c r="F50" s="38" t="s">
        <v>1121</v>
      </c>
    </row>
    <row r="51" spans="2:6" ht="85.5" x14ac:dyDescent="0.2">
      <c r="B51" s="150"/>
      <c r="C51" s="37" t="s">
        <v>315</v>
      </c>
      <c r="D51" s="37" t="s">
        <v>1122</v>
      </c>
      <c r="E51" s="37" t="s">
        <v>1123</v>
      </c>
      <c r="F51" s="38" t="s">
        <v>1124</v>
      </c>
    </row>
    <row r="52" spans="2:6" ht="99.75" x14ac:dyDescent="0.2">
      <c r="B52" s="150"/>
      <c r="C52" s="37" t="s">
        <v>316</v>
      </c>
      <c r="D52" s="37" t="s">
        <v>1125</v>
      </c>
      <c r="E52" s="37" t="s">
        <v>1126</v>
      </c>
      <c r="F52" s="38" t="s">
        <v>1127</v>
      </c>
    </row>
    <row r="53" spans="2:6" ht="99.75" x14ac:dyDescent="0.2">
      <c r="B53" s="150"/>
      <c r="C53" s="46" t="s">
        <v>317</v>
      </c>
      <c r="D53" s="46" t="s">
        <v>428</v>
      </c>
      <c r="E53" s="46" t="s">
        <v>429</v>
      </c>
      <c r="F53" s="47" t="s">
        <v>430</v>
      </c>
    </row>
    <row r="54" spans="2:6" x14ac:dyDescent="0.2">
      <c r="B54" s="45"/>
      <c r="C54" s="37"/>
      <c r="D54" s="37"/>
      <c r="E54" s="37"/>
      <c r="F54" s="38"/>
    </row>
    <row r="55" spans="2:6" ht="142.5" x14ac:dyDescent="0.2">
      <c r="B55" s="149" t="s">
        <v>52</v>
      </c>
      <c r="C55" s="37" t="s">
        <v>318</v>
      </c>
      <c r="D55" s="37" t="s">
        <v>431</v>
      </c>
      <c r="E55" s="37" t="s">
        <v>432</v>
      </c>
      <c r="F55" s="38" t="s">
        <v>433</v>
      </c>
    </row>
    <row r="56" spans="2:6" ht="114" x14ac:dyDescent="0.2">
      <c r="B56" s="149"/>
      <c r="C56" s="37" t="s">
        <v>319</v>
      </c>
      <c r="D56" s="37" t="s">
        <v>434</v>
      </c>
      <c r="E56" s="37" t="s">
        <v>435</v>
      </c>
      <c r="F56" s="38" t="s">
        <v>436</v>
      </c>
    </row>
    <row r="57" spans="2:6" ht="99.75" x14ac:dyDescent="0.2">
      <c r="B57" s="149"/>
      <c r="C57" s="37" t="s">
        <v>320</v>
      </c>
      <c r="D57" s="37" t="s">
        <v>437</v>
      </c>
      <c r="E57" s="37" t="s">
        <v>438</v>
      </c>
      <c r="F57" s="38" t="s">
        <v>439</v>
      </c>
    </row>
    <row r="58" spans="2:6" ht="128.25" x14ac:dyDescent="0.2">
      <c r="B58" s="149"/>
      <c r="C58" s="37" t="s">
        <v>321</v>
      </c>
      <c r="D58" s="37" t="s">
        <v>440</v>
      </c>
      <c r="E58" s="37" t="s">
        <v>441</v>
      </c>
      <c r="F58" s="38" t="s">
        <v>442</v>
      </c>
    </row>
    <row r="59" spans="2:6" x14ac:dyDescent="0.2">
      <c r="B59" s="45"/>
      <c r="C59" s="37"/>
      <c r="D59" s="37"/>
      <c r="E59" s="37"/>
      <c r="F59" s="38"/>
    </row>
    <row r="60" spans="2:6" ht="99.75" x14ac:dyDescent="0.2">
      <c r="B60" s="149" t="s">
        <v>53</v>
      </c>
      <c r="C60" s="37" t="s">
        <v>308</v>
      </c>
      <c r="D60" s="37" t="s">
        <v>443</v>
      </c>
      <c r="E60" s="37" t="s">
        <v>444</v>
      </c>
      <c r="F60" s="38" t="s">
        <v>445</v>
      </c>
    </row>
    <row r="61" spans="2:6" ht="99.75" x14ac:dyDescent="0.2">
      <c r="B61" s="149"/>
      <c r="C61" s="37" t="s">
        <v>309</v>
      </c>
      <c r="D61" s="37" t="s">
        <v>446</v>
      </c>
      <c r="E61" s="37" t="s">
        <v>447</v>
      </c>
      <c r="F61" s="38" t="s">
        <v>448</v>
      </c>
    </row>
    <row r="62" spans="2:6" ht="114" x14ac:dyDescent="0.2">
      <c r="B62" s="149"/>
      <c r="C62" s="37" t="s">
        <v>310</v>
      </c>
      <c r="D62" s="37" t="s">
        <v>449</v>
      </c>
      <c r="E62" s="37" t="s">
        <v>450</v>
      </c>
      <c r="F62" s="38" t="s">
        <v>451</v>
      </c>
    </row>
    <row r="63" spans="2:6" ht="99.75" x14ac:dyDescent="0.2">
      <c r="B63" s="149"/>
      <c r="C63" s="37" t="s">
        <v>311</v>
      </c>
      <c r="D63" s="37" t="s">
        <v>452</v>
      </c>
      <c r="E63" s="37" t="s">
        <v>453</v>
      </c>
      <c r="F63" s="38" t="s">
        <v>454</v>
      </c>
    </row>
    <row r="64" spans="2:6" ht="128.25" x14ac:dyDescent="0.2">
      <c r="B64" s="149"/>
      <c r="C64" s="37" t="s">
        <v>312</v>
      </c>
      <c r="D64" s="37" t="s">
        <v>455</v>
      </c>
      <c r="E64" s="37" t="s">
        <v>456</v>
      </c>
      <c r="F64" s="38" t="s">
        <v>457</v>
      </c>
    </row>
    <row r="65" spans="2:6" x14ac:dyDescent="0.2">
      <c r="B65" s="45"/>
      <c r="C65" s="37"/>
      <c r="D65" s="37"/>
      <c r="E65" s="37"/>
      <c r="F65" s="38"/>
    </row>
    <row r="66" spans="2:6" ht="99.75" x14ac:dyDescent="0.2">
      <c r="B66" s="149" t="s">
        <v>54</v>
      </c>
      <c r="C66" s="37" t="s">
        <v>322</v>
      </c>
      <c r="D66" s="37" t="s">
        <v>458</v>
      </c>
      <c r="E66" s="37" t="s">
        <v>459</v>
      </c>
      <c r="F66" s="38" t="s">
        <v>460</v>
      </c>
    </row>
    <row r="67" spans="2:6" ht="114" x14ac:dyDescent="0.2">
      <c r="B67" s="149"/>
      <c r="C67" s="37" t="s">
        <v>323</v>
      </c>
      <c r="D67" s="37" t="s">
        <v>461</v>
      </c>
      <c r="E67" s="37" t="s">
        <v>462</v>
      </c>
      <c r="F67" s="38" t="s">
        <v>463</v>
      </c>
    </row>
    <row r="68" spans="2:6" ht="85.5" x14ac:dyDescent="0.2">
      <c r="B68" s="149"/>
      <c r="C68" s="37" t="s">
        <v>324</v>
      </c>
      <c r="D68" s="37" t="s">
        <v>464</v>
      </c>
      <c r="E68" s="37" t="s">
        <v>465</v>
      </c>
      <c r="F68" s="38" t="s">
        <v>466</v>
      </c>
    </row>
    <row r="69" spans="2:6" ht="114" x14ac:dyDescent="0.2">
      <c r="B69" s="149"/>
      <c r="C69" s="37" t="s">
        <v>325</v>
      </c>
      <c r="D69" s="37" t="s">
        <v>467</v>
      </c>
      <c r="E69" s="37" t="s">
        <v>468</v>
      </c>
      <c r="F69" s="38" t="s">
        <v>469</v>
      </c>
    </row>
    <row r="70" spans="2:6" x14ac:dyDescent="0.2">
      <c r="B70" s="45"/>
      <c r="C70" s="37"/>
      <c r="D70" s="37"/>
      <c r="E70" s="37"/>
      <c r="F70" s="38"/>
    </row>
    <row r="71" spans="2:6" x14ac:dyDescent="0.2">
      <c r="B71" s="45"/>
      <c r="C71" s="37"/>
      <c r="D71" s="37"/>
      <c r="E71" s="37"/>
      <c r="F71" s="38"/>
    </row>
    <row r="72" spans="2:6" ht="114" x14ac:dyDescent="0.2">
      <c r="B72" s="149" t="s">
        <v>55</v>
      </c>
      <c r="C72" s="37" t="s">
        <v>334</v>
      </c>
      <c r="D72" s="37" t="s">
        <v>470</v>
      </c>
      <c r="E72" s="37" t="s">
        <v>471</v>
      </c>
      <c r="F72" s="38" t="s">
        <v>472</v>
      </c>
    </row>
    <row r="73" spans="2:6" ht="85.5" x14ac:dyDescent="0.2">
      <c r="B73" s="149"/>
      <c r="C73" s="37" t="s">
        <v>335</v>
      </c>
      <c r="D73" s="37" t="s">
        <v>473</v>
      </c>
      <c r="E73" s="37" t="s">
        <v>474</v>
      </c>
      <c r="F73" s="38" t="s">
        <v>475</v>
      </c>
    </row>
    <row r="74" spans="2:6" ht="114" x14ac:dyDescent="0.2">
      <c r="B74" s="149"/>
      <c r="C74" s="37" t="s">
        <v>336</v>
      </c>
      <c r="D74" s="37" t="s">
        <v>476</v>
      </c>
      <c r="E74" s="37" t="s">
        <v>477</v>
      </c>
      <c r="F74" s="38" t="s">
        <v>478</v>
      </c>
    </row>
    <row r="75" spans="2:6" ht="85.5" x14ac:dyDescent="0.2">
      <c r="B75" s="149"/>
      <c r="C75" s="37" t="s">
        <v>337</v>
      </c>
      <c r="D75" s="37" t="s">
        <v>479</v>
      </c>
      <c r="E75" s="37" t="s">
        <v>480</v>
      </c>
      <c r="F75" s="38" t="s">
        <v>481</v>
      </c>
    </row>
    <row r="76" spans="2:6" ht="99.75" x14ac:dyDescent="0.2">
      <c r="B76" s="149"/>
      <c r="C76" s="37" t="s">
        <v>338</v>
      </c>
      <c r="D76" s="37" t="s">
        <v>482</v>
      </c>
      <c r="E76" s="37" t="s">
        <v>483</v>
      </c>
      <c r="F76" s="38" t="s">
        <v>484</v>
      </c>
    </row>
    <row r="77" spans="2:6" x14ac:dyDescent="0.2">
      <c r="B77" s="45"/>
      <c r="C77" s="37"/>
      <c r="D77" s="37"/>
      <c r="E77" s="37"/>
      <c r="F77" s="38"/>
    </row>
    <row r="78" spans="2:6" ht="114" x14ac:dyDescent="0.2">
      <c r="B78" s="149" t="s">
        <v>56</v>
      </c>
      <c r="C78" s="37" t="s">
        <v>106</v>
      </c>
      <c r="D78" s="37" t="s">
        <v>485</v>
      </c>
      <c r="E78" s="37" t="s">
        <v>486</v>
      </c>
      <c r="F78" s="38" t="s">
        <v>487</v>
      </c>
    </row>
    <row r="79" spans="2:6" ht="99.75" x14ac:dyDescent="0.2">
      <c r="B79" s="149"/>
      <c r="C79" s="37" t="s">
        <v>107</v>
      </c>
      <c r="D79" s="37" t="s">
        <v>488</v>
      </c>
      <c r="E79" s="37" t="s">
        <v>489</v>
      </c>
      <c r="F79" s="38" t="s">
        <v>490</v>
      </c>
    </row>
    <row r="80" spans="2:6" ht="85.5" x14ac:dyDescent="0.2">
      <c r="B80" s="149"/>
      <c r="C80" s="37" t="s">
        <v>108</v>
      </c>
      <c r="D80" s="37" t="s">
        <v>491</v>
      </c>
      <c r="E80" s="37" t="s">
        <v>492</v>
      </c>
      <c r="F80" s="38" t="s">
        <v>493</v>
      </c>
    </row>
    <row r="81" spans="2:6" ht="85.5" x14ac:dyDescent="0.2">
      <c r="B81" s="149"/>
      <c r="C81" s="37" t="s">
        <v>109</v>
      </c>
      <c r="D81" s="37" t="s">
        <v>494</v>
      </c>
      <c r="E81" s="37" t="s">
        <v>495</v>
      </c>
      <c r="F81" s="38" t="s">
        <v>496</v>
      </c>
    </row>
    <row r="82" spans="2:6" ht="114" x14ac:dyDescent="0.2">
      <c r="B82" s="149"/>
      <c r="C82" s="37" t="s">
        <v>110</v>
      </c>
      <c r="D82" s="37" t="s">
        <v>497</v>
      </c>
      <c r="E82" s="37" t="s">
        <v>498</v>
      </c>
      <c r="F82" s="38" t="s">
        <v>499</v>
      </c>
    </row>
    <row r="83" spans="2:6" x14ac:dyDescent="0.2">
      <c r="B83" s="45"/>
      <c r="C83" s="37"/>
      <c r="D83" s="37"/>
      <c r="E83" s="37"/>
      <c r="F83" s="38"/>
    </row>
    <row r="84" spans="2:6" ht="85.5" x14ac:dyDescent="0.2">
      <c r="B84" s="45" t="s">
        <v>57</v>
      </c>
      <c r="C84" s="37" t="s">
        <v>326</v>
      </c>
      <c r="D84" s="37" t="s">
        <v>500</v>
      </c>
      <c r="E84" s="37" t="s">
        <v>501</v>
      </c>
      <c r="F84" s="38" t="s">
        <v>502</v>
      </c>
    </row>
    <row r="85" spans="2:6" ht="99.75" x14ac:dyDescent="0.2">
      <c r="B85" s="45"/>
      <c r="C85" s="37" t="s">
        <v>327</v>
      </c>
      <c r="D85" s="37" t="s">
        <v>503</v>
      </c>
      <c r="E85" s="37" t="s">
        <v>504</v>
      </c>
      <c r="F85" s="38" t="s">
        <v>505</v>
      </c>
    </row>
    <row r="86" spans="2:6" ht="114" x14ac:dyDescent="0.2">
      <c r="B86" s="45"/>
      <c r="C86" s="37" t="s">
        <v>328</v>
      </c>
      <c r="D86" s="37" t="s">
        <v>506</v>
      </c>
      <c r="E86" s="37" t="s">
        <v>507</v>
      </c>
      <c r="F86" s="38" t="s">
        <v>508</v>
      </c>
    </row>
    <row r="87" spans="2:6" ht="85.5" x14ac:dyDescent="0.2">
      <c r="B87" s="45"/>
      <c r="C87" s="37" t="s">
        <v>329</v>
      </c>
      <c r="D87" s="37" t="s">
        <v>509</v>
      </c>
      <c r="E87" s="37" t="s">
        <v>510</v>
      </c>
      <c r="F87" s="38" t="s">
        <v>511</v>
      </c>
    </row>
    <row r="88" spans="2:6" x14ac:dyDescent="0.2">
      <c r="B88" s="149" t="s">
        <v>58</v>
      </c>
      <c r="C88" s="37"/>
      <c r="D88" s="37"/>
      <c r="E88" s="37"/>
      <c r="F88" s="38"/>
    </row>
    <row r="89" spans="2:6" ht="99.75" x14ac:dyDescent="0.2">
      <c r="B89" s="149"/>
      <c r="C89" s="37" t="s">
        <v>339</v>
      </c>
      <c r="D89" s="37" t="s">
        <v>512</v>
      </c>
      <c r="E89" s="37" t="s">
        <v>513</v>
      </c>
      <c r="F89" s="38" t="s">
        <v>514</v>
      </c>
    </row>
    <row r="90" spans="2:6" ht="85.5" x14ac:dyDescent="0.2">
      <c r="B90" s="149"/>
      <c r="C90" s="37" t="s">
        <v>340</v>
      </c>
      <c r="D90" s="37" t="s">
        <v>515</v>
      </c>
      <c r="E90" s="37" t="s">
        <v>516</v>
      </c>
      <c r="F90" s="38" t="s">
        <v>517</v>
      </c>
    </row>
    <row r="91" spans="2:6" ht="128.25" x14ac:dyDescent="0.2">
      <c r="B91" s="149"/>
      <c r="C91" s="37" t="s">
        <v>341</v>
      </c>
      <c r="D91" s="37" t="s">
        <v>518</v>
      </c>
      <c r="E91" s="37" t="s">
        <v>519</v>
      </c>
      <c r="F91" s="38" t="s">
        <v>520</v>
      </c>
    </row>
    <row r="92" spans="2:6" ht="114" x14ac:dyDescent="0.2">
      <c r="B92" s="149"/>
      <c r="C92" s="37" t="s">
        <v>342</v>
      </c>
      <c r="D92" s="37" t="s">
        <v>521</v>
      </c>
      <c r="E92" s="37" t="s">
        <v>522</v>
      </c>
      <c r="F92" s="38" t="s">
        <v>523</v>
      </c>
    </row>
    <row r="93" spans="2:6" ht="99.75" x14ac:dyDescent="0.2">
      <c r="B93" s="149"/>
      <c r="C93" s="37" t="s">
        <v>343</v>
      </c>
      <c r="D93" s="37" t="s">
        <v>524</v>
      </c>
      <c r="E93" s="37" t="s">
        <v>525</v>
      </c>
      <c r="F93" s="38" t="s">
        <v>526</v>
      </c>
    </row>
    <row r="94" spans="2:6" x14ac:dyDescent="0.2">
      <c r="B94" s="45"/>
      <c r="C94" s="37"/>
      <c r="D94" s="37"/>
      <c r="E94" s="37"/>
      <c r="F94" s="38"/>
    </row>
    <row r="95" spans="2:6" ht="99.75" x14ac:dyDescent="0.2">
      <c r="B95" s="149" t="s">
        <v>59</v>
      </c>
      <c r="C95" s="37" t="s">
        <v>330</v>
      </c>
      <c r="D95" s="37" t="s">
        <v>527</v>
      </c>
      <c r="E95" s="37" t="s">
        <v>528</v>
      </c>
      <c r="F95" s="38" t="s">
        <v>529</v>
      </c>
    </row>
    <row r="96" spans="2:6" ht="128.25" x14ac:dyDescent="0.2">
      <c r="B96" s="149"/>
      <c r="C96" s="37" t="s">
        <v>331</v>
      </c>
      <c r="D96" s="37" t="s">
        <v>530</v>
      </c>
      <c r="E96" s="37" t="s">
        <v>531</v>
      </c>
      <c r="F96" s="38" t="s">
        <v>532</v>
      </c>
    </row>
    <row r="97" spans="2:6" ht="99.75" x14ac:dyDescent="0.2">
      <c r="B97" s="149"/>
      <c r="C97" s="37" t="s">
        <v>332</v>
      </c>
      <c r="D97" s="37" t="s">
        <v>533</v>
      </c>
      <c r="E97" s="37" t="s">
        <v>534</v>
      </c>
      <c r="F97" s="38" t="s">
        <v>535</v>
      </c>
    </row>
    <row r="98" spans="2:6" ht="99.75" x14ac:dyDescent="0.2">
      <c r="B98" s="149"/>
      <c r="C98" s="37" t="s">
        <v>333</v>
      </c>
      <c r="D98" s="37" t="s">
        <v>536</v>
      </c>
      <c r="E98" s="37" t="s">
        <v>537</v>
      </c>
      <c r="F98" s="38" t="s">
        <v>538</v>
      </c>
    </row>
    <row r="99" spans="2:6" x14ac:dyDescent="0.2">
      <c r="B99" s="45"/>
      <c r="C99" s="37"/>
      <c r="D99" s="37"/>
      <c r="E99" s="37"/>
      <c r="F99" s="38"/>
    </row>
    <row r="100" spans="2:6" ht="114" x14ac:dyDescent="0.2">
      <c r="B100" s="149" t="s">
        <v>60</v>
      </c>
      <c r="C100" s="37" t="s">
        <v>113</v>
      </c>
      <c r="D100" s="37" t="s">
        <v>539</v>
      </c>
      <c r="E100" s="37" t="s">
        <v>540</v>
      </c>
      <c r="F100" s="38" t="s">
        <v>541</v>
      </c>
    </row>
    <row r="101" spans="2:6" ht="114" x14ac:dyDescent="0.2">
      <c r="B101" s="149"/>
      <c r="C101" s="37" t="s">
        <v>114</v>
      </c>
      <c r="D101" s="37" t="s">
        <v>542</v>
      </c>
      <c r="E101" s="37" t="s">
        <v>543</v>
      </c>
      <c r="F101" s="38" t="s">
        <v>544</v>
      </c>
    </row>
    <row r="102" spans="2:6" ht="85.5" x14ac:dyDescent="0.2">
      <c r="B102" s="149"/>
      <c r="C102" s="37" t="s">
        <v>115</v>
      </c>
      <c r="D102" s="37" t="s">
        <v>545</v>
      </c>
      <c r="E102" s="37" t="s">
        <v>546</v>
      </c>
      <c r="F102" s="38" t="s">
        <v>547</v>
      </c>
    </row>
    <row r="103" spans="2:6" ht="114" x14ac:dyDescent="0.2">
      <c r="B103" s="149"/>
      <c r="C103" s="37" t="s">
        <v>116</v>
      </c>
      <c r="D103" s="37" t="s">
        <v>548</v>
      </c>
      <c r="E103" s="37" t="s">
        <v>549</v>
      </c>
      <c r="F103" s="38" t="s">
        <v>550</v>
      </c>
    </row>
    <row r="104" spans="2:6" ht="85.5" x14ac:dyDescent="0.2">
      <c r="B104" s="149"/>
      <c r="C104" s="37" t="s">
        <v>117</v>
      </c>
      <c r="D104" s="37" t="s">
        <v>551</v>
      </c>
      <c r="E104" s="37" t="s">
        <v>552</v>
      </c>
      <c r="F104" s="38" t="s">
        <v>553</v>
      </c>
    </row>
    <row r="105" spans="2:6" x14ac:dyDescent="0.2">
      <c r="B105" s="45"/>
      <c r="C105" s="37"/>
      <c r="D105" s="37"/>
      <c r="E105" s="37"/>
      <c r="F105" s="38"/>
    </row>
    <row r="106" spans="2:6" ht="114" x14ac:dyDescent="0.2">
      <c r="B106" s="149" t="s">
        <v>61</v>
      </c>
      <c r="C106" s="37" t="s">
        <v>118</v>
      </c>
      <c r="D106" s="37" t="s">
        <v>554</v>
      </c>
      <c r="E106" s="37" t="s">
        <v>555</v>
      </c>
      <c r="F106" s="38" t="s">
        <v>556</v>
      </c>
    </row>
    <row r="107" spans="2:6" ht="142.5" x14ac:dyDescent="0.2">
      <c r="B107" s="149"/>
      <c r="C107" s="37" t="s">
        <v>119</v>
      </c>
      <c r="D107" s="37" t="s">
        <v>557</v>
      </c>
      <c r="E107" s="37" t="s">
        <v>558</v>
      </c>
      <c r="F107" s="38" t="s">
        <v>559</v>
      </c>
    </row>
    <row r="108" spans="2:6" ht="99.75" x14ac:dyDescent="0.2">
      <c r="B108" s="149"/>
      <c r="C108" s="37" t="s">
        <v>120</v>
      </c>
      <c r="D108" s="37" t="s">
        <v>560</v>
      </c>
      <c r="E108" s="37" t="s">
        <v>561</v>
      </c>
      <c r="F108" s="38" t="s">
        <v>562</v>
      </c>
    </row>
    <row r="109" spans="2:6" ht="114" x14ac:dyDescent="0.2">
      <c r="B109" s="149"/>
      <c r="C109" s="37" t="s">
        <v>121</v>
      </c>
      <c r="D109" s="37" t="s">
        <v>563</v>
      </c>
      <c r="E109" s="37" t="s">
        <v>564</v>
      </c>
      <c r="F109" s="38" t="s">
        <v>565</v>
      </c>
    </row>
    <row r="110" spans="2:6" ht="85.5" x14ac:dyDescent="0.2">
      <c r="B110" s="149"/>
      <c r="C110" s="37" t="s">
        <v>122</v>
      </c>
      <c r="D110" s="37" t="s">
        <v>566</v>
      </c>
      <c r="E110" s="37" t="s">
        <v>567</v>
      </c>
      <c r="F110" s="38" t="s">
        <v>568</v>
      </c>
    </row>
    <row r="111" spans="2:6" x14ac:dyDescent="0.2">
      <c r="B111" s="45"/>
      <c r="C111" s="37"/>
      <c r="D111" s="37"/>
      <c r="E111" s="37"/>
      <c r="F111" s="38"/>
    </row>
    <row r="112" spans="2:6" ht="128.25" x14ac:dyDescent="0.2">
      <c r="B112" s="149" t="s">
        <v>62</v>
      </c>
      <c r="C112" s="37" t="s">
        <v>128</v>
      </c>
      <c r="D112" s="37" t="s">
        <v>569</v>
      </c>
      <c r="E112" s="37" t="s">
        <v>570</v>
      </c>
      <c r="F112" s="38" t="s">
        <v>571</v>
      </c>
    </row>
    <row r="113" spans="2:6" ht="99.75" x14ac:dyDescent="0.2">
      <c r="B113" s="149"/>
      <c r="C113" s="37" t="s">
        <v>129</v>
      </c>
      <c r="D113" s="37" t="s">
        <v>572</v>
      </c>
      <c r="E113" s="37" t="s">
        <v>573</v>
      </c>
      <c r="F113" s="38" t="s">
        <v>574</v>
      </c>
    </row>
    <row r="114" spans="2:6" ht="99.75" x14ac:dyDescent="0.2">
      <c r="B114" s="149"/>
      <c r="C114" s="37" t="s">
        <v>130</v>
      </c>
      <c r="D114" s="37" t="s">
        <v>575</v>
      </c>
      <c r="E114" s="37" t="s">
        <v>576</v>
      </c>
      <c r="F114" s="38" t="s">
        <v>577</v>
      </c>
    </row>
    <row r="115" spans="2:6" ht="128.25" x14ac:dyDescent="0.2">
      <c r="B115" s="149"/>
      <c r="C115" s="37" t="s">
        <v>131</v>
      </c>
      <c r="D115" s="37" t="s">
        <v>578</v>
      </c>
      <c r="E115" s="37" t="s">
        <v>579</v>
      </c>
      <c r="F115" s="38" t="s">
        <v>580</v>
      </c>
    </row>
    <row r="116" spans="2:6" ht="99.75" x14ac:dyDescent="0.2">
      <c r="B116" s="149"/>
      <c r="C116" s="37" t="s">
        <v>132</v>
      </c>
      <c r="D116" s="37" t="s">
        <v>581</v>
      </c>
      <c r="E116" s="37" t="s">
        <v>582</v>
      </c>
      <c r="F116" s="38" t="s">
        <v>583</v>
      </c>
    </row>
    <row r="117" spans="2:6" x14ac:dyDescent="0.2">
      <c r="B117" s="45"/>
      <c r="C117" s="37"/>
      <c r="D117" s="37"/>
      <c r="E117" s="37"/>
      <c r="F117" s="38"/>
    </row>
    <row r="118" spans="2:6" ht="114" x14ac:dyDescent="0.2">
      <c r="B118" s="149" t="s">
        <v>63</v>
      </c>
      <c r="C118" s="37" t="s">
        <v>133</v>
      </c>
      <c r="D118" s="37" t="s">
        <v>584</v>
      </c>
      <c r="E118" s="37" t="s">
        <v>585</v>
      </c>
      <c r="F118" s="38" t="s">
        <v>586</v>
      </c>
    </row>
    <row r="119" spans="2:6" ht="114" x14ac:dyDescent="0.2">
      <c r="B119" s="149"/>
      <c r="C119" s="37" t="s">
        <v>134</v>
      </c>
      <c r="D119" s="37" t="s">
        <v>587</v>
      </c>
      <c r="E119" s="37" t="s">
        <v>588</v>
      </c>
      <c r="F119" s="38" t="s">
        <v>589</v>
      </c>
    </row>
    <row r="120" spans="2:6" ht="85.5" x14ac:dyDescent="0.2">
      <c r="B120" s="149"/>
      <c r="C120" s="37" t="s">
        <v>135</v>
      </c>
      <c r="D120" s="37" t="s">
        <v>1128</v>
      </c>
      <c r="E120" s="37" t="s">
        <v>1129</v>
      </c>
      <c r="F120" s="38" t="s">
        <v>1130</v>
      </c>
    </row>
    <row r="121" spans="2:6" ht="85.5" x14ac:dyDescent="0.2">
      <c r="B121" s="149"/>
      <c r="C121" s="37" t="s">
        <v>136</v>
      </c>
      <c r="D121" s="37" t="s">
        <v>1131</v>
      </c>
      <c r="E121" s="37" t="s">
        <v>1132</v>
      </c>
      <c r="F121" s="47" t="s">
        <v>1133</v>
      </c>
    </row>
    <row r="122" spans="2:6" ht="99.75" x14ac:dyDescent="0.2">
      <c r="B122" s="149"/>
      <c r="C122" s="37" t="s">
        <v>137</v>
      </c>
      <c r="D122" s="37" t="s">
        <v>590</v>
      </c>
      <c r="E122" s="37" t="s">
        <v>591</v>
      </c>
      <c r="F122" s="38" t="s">
        <v>592</v>
      </c>
    </row>
    <row r="123" spans="2:6" x14ac:dyDescent="0.2">
      <c r="B123" s="45"/>
      <c r="C123" s="37"/>
      <c r="D123" s="37"/>
      <c r="E123" s="37"/>
      <c r="F123" s="38"/>
    </row>
    <row r="124" spans="2:6" ht="99.75" x14ac:dyDescent="0.2">
      <c r="B124" s="149" t="s">
        <v>64</v>
      </c>
      <c r="C124" s="37" t="s">
        <v>123</v>
      </c>
      <c r="D124" s="37" t="s">
        <v>593</v>
      </c>
      <c r="E124" s="37" t="s">
        <v>594</v>
      </c>
      <c r="F124" s="38" t="s">
        <v>595</v>
      </c>
    </row>
    <row r="125" spans="2:6" ht="114" x14ac:dyDescent="0.2">
      <c r="B125" s="149"/>
      <c r="C125" s="37" t="s">
        <v>124</v>
      </c>
      <c r="D125" s="37" t="s">
        <v>596</v>
      </c>
      <c r="E125" s="37" t="s">
        <v>597</v>
      </c>
      <c r="F125" s="38" t="s">
        <v>598</v>
      </c>
    </row>
    <row r="126" spans="2:6" ht="99.75" x14ac:dyDescent="0.2">
      <c r="B126" s="149"/>
      <c r="C126" s="37" t="s">
        <v>125</v>
      </c>
      <c r="D126" s="37" t="s">
        <v>599</v>
      </c>
      <c r="E126" s="37" t="s">
        <v>600</v>
      </c>
      <c r="F126" s="38" t="s">
        <v>601</v>
      </c>
    </row>
    <row r="127" spans="2:6" ht="128.25" x14ac:dyDescent="0.2">
      <c r="B127" s="149"/>
      <c r="C127" s="37" t="s">
        <v>126</v>
      </c>
      <c r="D127" s="37" t="s">
        <v>602</v>
      </c>
      <c r="E127" s="37" t="s">
        <v>603</v>
      </c>
      <c r="F127" s="38" t="s">
        <v>604</v>
      </c>
    </row>
    <row r="128" spans="2:6" ht="99.75" x14ac:dyDescent="0.2">
      <c r="B128" s="149"/>
      <c r="C128" s="37" t="s">
        <v>127</v>
      </c>
      <c r="D128" s="37" t="s">
        <v>605</v>
      </c>
      <c r="E128" s="37" t="s">
        <v>606</v>
      </c>
      <c r="F128" s="38" t="s">
        <v>607</v>
      </c>
    </row>
    <row r="129" spans="2:6" x14ac:dyDescent="0.2">
      <c r="B129" s="45"/>
      <c r="C129" s="37"/>
      <c r="D129" s="37"/>
      <c r="E129" s="37"/>
      <c r="F129" s="38"/>
    </row>
    <row r="130" spans="2:6" ht="99.75" x14ac:dyDescent="0.2">
      <c r="B130" s="149" t="s">
        <v>65</v>
      </c>
      <c r="C130" s="37" t="s">
        <v>138</v>
      </c>
      <c r="D130" s="37" t="s">
        <v>608</v>
      </c>
      <c r="E130" s="37" t="s">
        <v>609</v>
      </c>
      <c r="F130" s="38" t="s">
        <v>610</v>
      </c>
    </row>
    <row r="131" spans="2:6" ht="114" x14ac:dyDescent="0.2">
      <c r="B131" s="149"/>
      <c r="C131" s="37" t="s">
        <v>139</v>
      </c>
      <c r="D131" s="37" t="s">
        <v>611</v>
      </c>
      <c r="E131" s="37" t="s">
        <v>612</v>
      </c>
      <c r="F131" s="38" t="s">
        <v>613</v>
      </c>
    </row>
    <row r="132" spans="2:6" ht="114" x14ac:dyDescent="0.2">
      <c r="B132" s="149"/>
      <c r="C132" s="37" t="s">
        <v>140</v>
      </c>
      <c r="D132" s="37" t="s">
        <v>614</v>
      </c>
      <c r="E132" s="37" t="s">
        <v>615</v>
      </c>
      <c r="F132" s="38" t="s">
        <v>616</v>
      </c>
    </row>
    <row r="133" spans="2:6" ht="99.75" x14ac:dyDescent="0.2">
      <c r="B133" s="149"/>
      <c r="C133" s="37" t="s">
        <v>141</v>
      </c>
      <c r="D133" s="37" t="s">
        <v>617</v>
      </c>
      <c r="E133" s="37" t="s">
        <v>618</v>
      </c>
      <c r="F133" s="38" t="s">
        <v>619</v>
      </c>
    </row>
    <row r="134" spans="2:6" ht="99.75" x14ac:dyDescent="0.2">
      <c r="B134" s="149"/>
      <c r="C134" s="37" t="s">
        <v>142</v>
      </c>
      <c r="D134" s="37" t="s">
        <v>620</v>
      </c>
      <c r="E134" s="37" t="s">
        <v>621</v>
      </c>
      <c r="F134" s="38" t="s">
        <v>622</v>
      </c>
    </row>
    <row r="135" spans="2:6" x14ac:dyDescent="0.2">
      <c r="B135" s="45"/>
      <c r="C135" s="37"/>
      <c r="D135" s="37"/>
      <c r="E135" s="37"/>
      <c r="F135" s="38"/>
    </row>
    <row r="136" spans="2:6" ht="114" x14ac:dyDescent="0.2">
      <c r="B136" s="149" t="s">
        <v>66</v>
      </c>
      <c r="C136" s="37" t="s">
        <v>298</v>
      </c>
      <c r="D136" s="37" t="s">
        <v>623</v>
      </c>
      <c r="E136" s="37" t="s">
        <v>624</v>
      </c>
      <c r="F136" s="38" t="s">
        <v>625</v>
      </c>
    </row>
    <row r="137" spans="2:6" ht="85.5" x14ac:dyDescent="0.2">
      <c r="B137" s="149"/>
      <c r="C137" s="37" t="s">
        <v>299</v>
      </c>
      <c r="D137" s="37" t="s">
        <v>626</v>
      </c>
      <c r="E137" s="37" t="s">
        <v>627</v>
      </c>
      <c r="F137" s="38" t="s">
        <v>628</v>
      </c>
    </row>
    <row r="138" spans="2:6" ht="114" x14ac:dyDescent="0.2">
      <c r="B138" s="149"/>
      <c r="C138" s="37" t="s">
        <v>300</v>
      </c>
      <c r="D138" s="37" t="s">
        <v>629</v>
      </c>
      <c r="E138" s="37" t="s">
        <v>630</v>
      </c>
      <c r="F138" s="38" t="s">
        <v>631</v>
      </c>
    </row>
    <row r="139" spans="2:6" ht="99.75" x14ac:dyDescent="0.2">
      <c r="B139" s="149"/>
      <c r="C139" s="37" t="s">
        <v>301</v>
      </c>
      <c r="D139" s="37" t="s">
        <v>632</v>
      </c>
      <c r="E139" s="37" t="s">
        <v>633</v>
      </c>
      <c r="F139" s="38" t="s">
        <v>634</v>
      </c>
    </row>
    <row r="140" spans="2:6" ht="99.75" x14ac:dyDescent="0.2">
      <c r="B140" s="149"/>
      <c r="C140" s="37" t="s">
        <v>302</v>
      </c>
      <c r="D140" s="37" t="s">
        <v>635</v>
      </c>
      <c r="E140" s="37" t="s">
        <v>636</v>
      </c>
      <c r="F140" s="38" t="s">
        <v>637</v>
      </c>
    </row>
    <row r="141" spans="2:6" x14ac:dyDescent="0.2">
      <c r="B141" s="45"/>
      <c r="C141" s="37"/>
      <c r="D141" s="37"/>
      <c r="E141" s="37"/>
      <c r="F141" s="38"/>
    </row>
    <row r="142" spans="2:6" ht="114" x14ac:dyDescent="0.2">
      <c r="B142" s="149" t="s">
        <v>67</v>
      </c>
      <c r="C142" s="37" t="s">
        <v>143</v>
      </c>
      <c r="D142" s="37" t="s">
        <v>638</v>
      </c>
      <c r="E142" s="37" t="s">
        <v>639</v>
      </c>
      <c r="F142" s="38" t="s">
        <v>640</v>
      </c>
    </row>
    <row r="143" spans="2:6" ht="85.5" x14ac:dyDescent="0.2">
      <c r="B143" s="149"/>
      <c r="C143" s="37" t="s">
        <v>144</v>
      </c>
      <c r="D143" s="37" t="s">
        <v>641</v>
      </c>
      <c r="E143" s="37" t="s">
        <v>642</v>
      </c>
      <c r="F143" s="38" t="s">
        <v>643</v>
      </c>
    </row>
    <row r="144" spans="2:6" ht="99.75" x14ac:dyDescent="0.2">
      <c r="B144" s="149"/>
      <c r="C144" s="37" t="s">
        <v>145</v>
      </c>
      <c r="D144" s="37" t="s">
        <v>644</v>
      </c>
      <c r="E144" s="37" t="s">
        <v>645</v>
      </c>
      <c r="F144" s="38" t="s">
        <v>646</v>
      </c>
    </row>
    <row r="145" spans="2:6" ht="99.75" x14ac:dyDescent="0.2">
      <c r="B145" s="149"/>
      <c r="C145" s="37" t="s">
        <v>146</v>
      </c>
      <c r="D145" s="37" t="s">
        <v>647</v>
      </c>
      <c r="E145" s="37" t="s">
        <v>648</v>
      </c>
      <c r="F145" s="38" t="s">
        <v>649</v>
      </c>
    </row>
    <row r="146" spans="2:6" ht="114" x14ac:dyDescent="0.2">
      <c r="B146" s="149"/>
      <c r="C146" s="37" t="s">
        <v>147</v>
      </c>
      <c r="D146" s="37" t="s">
        <v>650</v>
      </c>
      <c r="E146" s="37" t="s">
        <v>651</v>
      </c>
      <c r="F146" s="38" t="s">
        <v>652</v>
      </c>
    </row>
    <row r="147" spans="2:6" x14ac:dyDescent="0.2">
      <c r="B147" s="45"/>
      <c r="C147" s="37"/>
      <c r="D147" s="37"/>
      <c r="E147" s="37"/>
      <c r="F147" s="38"/>
    </row>
    <row r="148" spans="2:6" ht="99.75" x14ac:dyDescent="0.2">
      <c r="B148" s="149" t="s">
        <v>68</v>
      </c>
      <c r="C148" s="37" t="s">
        <v>148</v>
      </c>
      <c r="D148" s="37" t="s">
        <v>653</v>
      </c>
      <c r="E148" s="37" t="s">
        <v>654</v>
      </c>
      <c r="F148" s="38" t="s">
        <v>655</v>
      </c>
    </row>
    <row r="149" spans="2:6" ht="99.75" x14ac:dyDescent="0.2">
      <c r="B149" s="149"/>
      <c r="C149" s="37" t="s">
        <v>149</v>
      </c>
      <c r="D149" s="37" t="s">
        <v>656</v>
      </c>
      <c r="E149" s="37" t="s">
        <v>657</v>
      </c>
      <c r="F149" s="38" t="s">
        <v>658</v>
      </c>
    </row>
    <row r="150" spans="2:6" ht="99.75" x14ac:dyDescent="0.2">
      <c r="B150" s="149"/>
      <c r="C150" s="37" t="s">
        <v>150</v>
      </c>
      <c r="D150" s="37" t="s">
        <v>659</v>
      </c>
      <c r="E150" s="37" t="s">
        <v>660</v>
      </c>
      <c r="F150" s="38" t="s">
        <v>661</v>
      </c>
    </row>
    <row r="151" spans="2:6" ht="114" x14ac:dyDescent="0.2">
      <c r="B151" s="149"/>
      <c r="C151" s="37" t="s">
        <v>151</v>
      </c>
      <c r="D151" s="37" t="s">
        <v>662</v>
      </c>
      <c r="E151" s="37" t="s">
        <v>663</v>
      </c>
      <c r="F151" s="38" t="s">
        <v>664</v>
      </c>
    </row>
    <row r="152" spans="2:6" ht="99.75" x14ac:dyDescent="0.2">
      <c r="B152" s="149"/>
      <c r="C152" s="37" t="s">
        <v>152</v>
      </c>
      <c r="D152" s="37" t="s">
        <v>665</v>
      </c>
      <c r="E152" s="37" t="s">
        <v>666</v>
      </c>
      <c r="F152" s="38" t="s">
        <v>667</v>
      </c>
    </row>
    <row r="153" spans="2:6" x14ac:dyDescent="0.2">
      <c r="B153" s="45"/>
      <c r="C153" s="37"/>
      <c r="D153" s="37"/>
      <c r="E153" s="37"/>
      <c r="F153" s="38"/>
    </row>
    <row r="154" spans="2:6" ht="99.75" x14ac:dyDescent="0.2">
      <c r="B154" s="149" t="s">
        <v>69</v>
      </c>
      <c r="C154" s="37" t="s">
        <v>153</v>
      </c>
      <c r="D154" s="37" t="s">
        <v>668</v>
      </c>
      <c r="E154" s="37" t="s">
        <v>669</v>
      </c>
      <c r="F154" s="38" t="s">
        <v>670</v>
      </c>
    </row>
    <row r="155" spans="2:6" ht="99.75" x14ac:dyDescent="0.2">
      <c r="B155" s="149"/>
      <c r="C155" s="37" t="s">
        <v>154</v>
      </c>
      <c r="D155" s="37" t="s">
        <v>671</v>
      </c>
      <c r="E155" s="37" t="s">
        <v>672</v>
      </c>
      <c r="F155" s="38" t="s">
        <v>673</v>
      </c>
    </row>
    <row r="156" spans="2:6" ht="99.75" x14ac:dyDescent="0.2">
      <c r="B156" s="149"/>
      <c r="C156" s="37" t="s">
        <v>155</v>
      </c>
      <c r="D156" s="37" t="s">
        <v>674</v>
      </c>
      <c r="E156" s="37" t="s">
        <v>675</v>
      </c>
      <c r="F156" s="38" t="s">
        <v>676</v>
      </c>
    </row>
    <row r="157" spans="2:6" ht="99.75" x14ac:dyDescent="0.2">
      <c r="B157" s="149"/>
      <c r="C157" s="37" t="s">
        <v>156</v>
      </c>
      <c r="D157" s="37" t="s">
        <v>677</v>
      </c>
      <c r="E157" s="37" t="s">
        <v>678</v>
      </c>
      <c r="F157" s="38" t="s">
        <v>679</v>
      </c>
    </row>
    <row r="158" spans="2:6" ht="99.75" x14ac:dyDescent="0.2">
      <c r="B158" s="149"/>
      <c r="C158" s="37" t="s">
        <v>157</v>
      </c>
      <c r="D158" s="37" t="s">
        <v>680</v>
      </c>
      <c r="E158" s="37" t="s">
        <v>681</v>
      </c>
      <c r="F158" s="38" t="s">
        <v>682</v>
      </c>
    </row>
    <row r="159" spans="2:6" x14ac:dyDescent="0.2">
      <c r="B159" s="45"/>
      <c r="C159" s="37"/>
      <c r="D159" s="37"/>
      <c r="E159" s="37"/>
      <c r="F159" s="38"/>
    </row>
    <row r="160" spans="2:6" ht="114" x14ac:dyDescent="0.2">
      <c r="B160" s="149" t="s">
        <v>70</v>
      </c>
      <c r="C160" s="37" t="s">
        <v>158</v>
      </c>
      <c r="D160" s="37" t="s">
        <v>683</v>
      </c>
      <c r="E160" s="37" t="s">
        <v>684</v>
      </c>
      <c r="F160" s="38" t="s">
        <v>685</v>
      </c>
    </row>
    <row r="161" spans="2:6" ht="99.75" x14ac:dyDescent="0.2">
      <c r="B161" s="149"/>
      <c r="C161" s="37" t="s">
        <v>159</v>
      </c>
      <c r="D161" s="37" t="s">
        <v>686</v>
      </c>
      <c r="E161" s="37" t="s">
        <v>687</v>
      </c>
      <c r="F161" s="38" t="s">
        <v>688</v>
      </c>
    </row>
    <row r="162" spans="2:6" ht="114" x14ac:dyDescent="0.2">
      <c r="B162" s="149"/>
      <c r="C162" s="37" t="s">
        <v>160</v>
      </c>
      <c r="D162" s="37" t="s">
        <v>689</v>
      </c>
      <c r="E162" s="37" t="s">
        <v>690</v>
      </c>
      <c r="F162" s="38" t="s">
        <v>691</v>
      </c>
    </row>
    <row r="163" spans="2:6" ht="99.75" x14ac:dyDescent="0.2">
      <c r="B163" s="149"/>
      <c r="C163" s="37" t="s">
        <v>161</v>
      </c>
      <c r="D163" s="37" t="s">
        <v>692</v>
      </c>
      <c r="E163" s="37" t="s">
        <v>693</v>
      </c>
      <c r="F163" s="38" t="s">
        <v>694</v>
      </c>
    </row>
    <row r="164" spans="2:6" ht="99.75" x14ac:dyDescent="0.2">
      <c r="B164" s="149"/>
      <c r="C164" s="37" t="s">
        <v>162</v>
      </c>
      <c r="D164" s="37" t="s">
        <v>695</v>
      </c>
      <c r="E164" s="37" t="s">
        <v>696</v>
      </c>
      <c r="F164" s="38" t="s">
        <v>697</v>
      </c>
    </row>
    <row r="165" spans="2:6" x14ac:dyDescent="0.2">
      <c r="B165" s="45"/>
      <c r="C165" s="37"/>
      <c r="D165" s="37"/>
      <c r="E165" s="37"/>
      <c r="F165" s="38"/>
    </row>
    <row r="166" spans="2:6" ht="114" x14ac:dyDescent="0.2">
      <c r="B166" s="149" t="s">
        <v>71</v>
      </c>
      <c r="C166" s="37" t="s">
        <v>163</v>
      </c>
      <c r="D166" s="37" t="s">
        <v>698</v>
      </c>
      <c r="E166" s="37" t="s">
        <v>699</v>
      </c>
      <c r="F166" s="38" t="s">
        <v>700</v>
      </c>
    </row>
    <row r="167" spans="2:6" ht="128.25" x14ac:dyDescent="0.2">
      <c r="B167" s="149"/>
      <c r="C167" s="37" t="s">
        <v>164</v>
      </c>
      <c r="D167" s="37" t="s">
        <v>701</v>
      </c>
      <c r="E167" s="37" t="s">
        <v>702</v>
      </c>
      <c r="F167" s="38" t="s">
        <v>703</v>
      </c>
    </row>
    <row r="168" spans="2:6" ht="99.75" x14ac:dyDescent="0.2">
      <c r="B168" s="149"/>
      <c r="C168" s="37" t="s">
        <v>165</v>
      </c>
      <c r="D168" s="37" t="s">
        <v>704</v>
      </c>
      <c r="E168" s="37" t="s">
        <v>705</v>
      </c>
      <c r="F168" s="38" t="s">
        <v>706</v>
      </c>
    </row>
    <row r="169" spans="2:6" ht="99.75" x14ac:dyDescent="0.2">
      <c r="B169" s="149"/>
      <c r="C169" s="37" t="s">
        <v>166</v>
      </c>
      <c r="D169" s="37" t="s">
        <v>707</v>
      </c>
      <c r="E169" s="37" t="s">
        <v>708</v>
      </c>
      <c r="F169" s="38" t="s">
        <v>709</v>
      </c>
    </row>
    <row r="170" spans="2:6" ht="99.75" x14ac:dyDescent="0.2">
      <c r="B170" s="149"/>
      <c r="C170" s="37" t="s">
        <v>167</v>
      </c>
      <c r="D170" s="37" t="s">
        <v>710</v>
      </c>
      <c r="E170" s="37" t="s">
        <v>711</v>
      </c>
      <c r="F170" s="38" t="s">
        <v>712</v>
      </c>
    </row>
    <row r="171" spans="2:6" x14ac:dyDescent="0.2">
      <c r="B171" s="45"/>
      <c r="C171" s="37"/>
      <c r="D171" s="37"/>
      <c r="E171" s="37"/>
      <c r="F171" s="38"/>
    </row>
    <row r="172" spans="2:6" ht="114" x14ac:dyDescent="0.2">
      <c r="B172" s="149" t="s">
        <v>72</v>
      </c>
      <c r="C172" s="37" t="s">
        <v>203</v>
      </c>
      <c r="D172" s="37" t="s">
        <v>713</v>
      </c>
      <c r="E172" s="37" t="s">
        <v>714</v>
      </c>
      <c r="F172" s="38" t="s">
        <v>715</v>
      </c>
    </row>
    <row r="173" spans="2:6" ht="114" x14ac:dyDescent="0.2">
      <c r="B173" s="149"/>
      <c r="C173" s="37" t="s">
        <v>204</v>
      </c>
      <c r="D173" s="37" t="s">
        <v>716</v>
      </c>
      <c r="E173" s="37" t="s">
        <v>717</v>
      </c>
      <c r="F173" s="38" t="s">
        <v>718</v>
      </c>
    </row>
    <row r="174" spans="2:6" ht="114" x14ac:dyDescent="0.2">
      <c r="B174" s="149"/>
      <c r="C174" s="37" t="s">
        <v>205</v>
      </c>
      <c r="D174" s="37" t="s">
        <v>719</v>
      </c>
      <c r="E174" s="37" t="s">
        <v>720</v>
      </c>
      <c r="F174" s="38" t="s">
        <v>721</v>
      </c>
    </row>
    <row r="175" spans="2:6" ht="99.75" x14ac:dyDescent="0.2">
      <c r="B175" s="149"/>
      <c r="C175" s="37" t="s">
        <v>206</v>
      </c>
      <c r="D175" s="37" t="s">
        <v>722</v>
      </c>
      <c r="E175" s="37" t="s">
        <v>723</v>
      </c>
      <c r="F175" s="38" t="s">
        <v>724</v>
      </c>
    </row>
    <row r="176" spans="2:6" ht="128.25" x14ac:dyDescent="0.2">
      <c r="B176" s="149"/>
      <c r="C176" s="37" t="s">
        <v>207</v>
      </c>
      <c r="D176" s="37" t="s">
        <v>725</v>
      </c>
      <c r="E176" s="37" t="s">
        <v>726</v>
      </c>
      <c r="F176" s="38" t="s">
        <v>727</v>
      </c>
    </row>
    <row r="177" spans="2:6" x14ac:dyDescent="0.2">
      <c r="B177" s="45"/>
      <c r="C177" s="37"/>
      <c r="D177" s="37"/>
      <c r="E177" s="37"/>
      <c r="F177" s="38"/>
    </row>
    <row r="178" spans="2:6" ht="128.25" x14ac:dyDescent="0.2">
      <c r="B178" s="149" t="s">
        <v>73</v>
      </c>
      <c r="C178" s="37" t="s">
        <v>168</v>
      </c>
      <c r="D178" s="37" t="s">
        <v>728</v>
      </c>
      <c r="E178" s="37" t="s">
        <v>729</v>
      </c>
      <c r="F178" s="38" t="s">
        <v>730</v>
      </c>
    </row>
    <row r="179" spans="2:6" ht="85.5" x14ac:dyDescent="0.2">
      <c r="B179" s="149"/>
      <c r="C179" s="37" t="s">
        <v>169</v>
      </c>
      <c r="D179" s="37" t="s">
        <v>731</v>
      </c>
      <c r="E179" s="37" t="s">
        <v>732</v>
      </c>
      <c r="F179" s="38" t="s">
        <v>733</v>
      </c>
    </row>
    <row r="180" spans="2:6" ht="114" x14ac:dyDescent="0.2">
      <c r="B180" s="149"/>
      <c r="C180" s="37" t="s">
        <v>170</v>
      </c>
      <c r="D180" s="37" t="s">
        <v>734</v>
      </c>
      <c r="E180" s="37" t="s">
        <v>735</v>
      </c>
      <c r="F180" s="38" t="s">
        <v>736</v>
      </c>
    </row>
    <row r="181" spans="2:6" ht="114" x14ac:dyDescent="0.2">
      <c r="B181" s="149"/>
      <c r="C181" s="37" t="s">
        <v>171</v>
      </c>
      <c r="D181" s="37" t="s">
        <v>737</v>
      </c>
      <c r="E181" s="37" t="s">
        <v>738</v>
      </c>
      <c r="F181" s="38" t="s">
        <v>739</v>
      </c>
    </row>
    <row r="182" spans="2:6" ht="99.75" x14ac:dyDescent="0.2">
      <c r="B182" s="149"/>
      <c r="C182" s="37" t="s">
        <v>172</v>
      </c>
      <c r="D182" s="37" t="s">
        <v>740</v>
      </c>
      <c r="E182" s="37" t="s">
        <v>741</v>
      </c>
      <c r="F182" s="38" t="s">
        <v>742</v>
      </c>
    </row>
    <row r="183" spans="2:6" x14ac:dyDescent="0.2">
      <c r="B183" s="45"/>
      <c r="C183" s="37"/>
      <c r="D183" s="37"/>
      <c r="E183" s="37"/>
      <c r="F183" s="38"/>
    </row>
    <row r="184" spans="2:6" ht="128.25" x14ac:dyDescent="0.2">
      <c r="B184" s="149" t="s">
        <v>74</v>
      </c>
      <c r="C184" s="37" t="s">
        <v>173</v>
      </c>
      <c r="D184" s="37" t="s">
        <v>743</v>
      </c>
      <c r="E184" s="37" t="s">
        <v>744</v>
      </c>
      <c r="F184" s="38" t="s">
        <v>745</v>
      </c>
    </row>
    <row r="185" spans="2:6" ht="99.75" x14ac:dyDescent="0.2">
      <c r="B185" s="149"/>
      <c r="C185" s="37" t="s">
        <v>174</v>
      </c>
      <c r="D185" s="37" t="s">
        <v>746</v>
      </c>
      <c r="E185" s="37" t="s">
        <v>747</v>
      </c>
      <c r="F185" s="38" t="s">
        <v>748</v>
      </c>
    </row>
    <row r="186" spans="2:6" ht="128.25" x14ac:dyDescent="0.2">
      <c r="B186" s="149"/>
      <c r="C186" s="37" t="s">
        <v>175</v>
      </c>
      <c r="D186" s="37" t="s">
        <v>749</v>
      </c>
      <c r="E186" s="37" t="s">
        <v>750</v>
      </c>
      <c r="F186" s="38" t="s">
        <v>751</v>
      </c>
    </row>
    <row r="187" spans="2:6" ht="99.75" x14ac:dyDescent="0.2">
      <c r="B187" s="149"/>
      <c r="C187" s="37" t="s">
        <v>176</v>
      </c>
      <c r="D187" s="37" t="s">
        <v>752</v>
      </c>
      <c r="E187" s="37" t="s">
        <v>753</v>
      </c>
      <c r="F187" s="38" t="s">
        <v>754</v>
      </c>
    </row>
    <row r="188" spans="2:6" ht="114" x14ac:dyDescent="0.2">
      <c r="B188" s="149"/>
      <c r="C188" s="37" t="s">
        <v>177</v>
      </c>
      <c r="D188" s="37" t="s">
        <v>755</v>
      </c>
      <c r="E188" s="37" t="s">
        <v>756</v>
      </c>
      <c r="F188" s="38" t="s">
        <v>757</v>
      </c>
    </row>
    <row r="189" spans="2:6" x14ac:dyDescent="0.2">
      <c r="B189" s="45"/>
      <c r="C189" s="37"/>
      <c r="D189" s="37"/>
      <c r="E189" s="37"/>
      <c r="F189" s="38"/>
    </row>
    <row r="190" spans="2:6" ht="128.25" x14ac:dyDescent="0.2">
      <c r="B190" s="149" t="s">
        <v>75</v>
      </c>
      <c r="C190" s="37" t="s">
        <v>178</v>
      </c>
      <c r="D190" s="37" t="s">
        <v>758</v>
      </c>
      <c r="E190" s="37" t="s">
        <v>759</v>
      </c>
      <c r="F190" s="38" t="s">
        <v>760</v>
      </c>
    </row>
    <row r="191" spans="2:6" ht="128.25" x14ac:dyDescent="0.2">
      <c r="B191" s="149"/>
      <c r="C191" s="37" t="s">
        <v>179</v>
      </c>
      <c r="D191" s="37" t="s">
        <v>761</v>
      </c>
      <c r="E191" s="37" t="s">
        <v>762</v>
      </c>
      <c r="F191" s="38" t="s">
        <v>763</v>
      </c>
    </row>
    <row r="192" spans="2:6" ht="114" x14ac:dyDescent="0.2">
      <c r="B192" s="149"/>
      <c r="C192" s="37" t="s">
        <v>180</v>
      </c>
      <c r="D192" s="37" t="s">
        <v>764</v>
      </c>
      <c r="E192" s="37" t="s">
        <v>765</v>
      </c>
      <c r="F192" s="38" t="s">
        <v>766</v>
      </c>
    </row>
    <row r="193" spans="2:6" ht="114" x14ac:dyDescent="0.2">
      <c r="B193" s="149"/>
      <c r="C193" s="37" t="s">
        <v>181</v>
      </c>
      <c r="D193" s="37" t="s">
        <v>767</v>
      </c>
      <c r="E193" s="37" t="s">
        <v>768</v>
      </c>
      <c r="F193" s="38" t="s">
        <v>769</v>
      </c>
    </row>
    <row r="194" spans="2:6" ht="99.75" x14ac:dyDescent="0.2">
      <c r="B194" s="149"/>
      <c r="C194" s="37" t="s">
        <v>182</v>
      </c>
      <c r="D194" s="37" t="s">
        <v>770</v>
      </c>
      <c r="E194" s="37" t="s">
        <v>771</v>
      </c>
      <c r="F194" s="38" t="s">
        <v>772</v>
      </c>
    </row>
    <row r="195" spans="2:6" x14ac:dyDescent="0.2">
      <c r="B195" s="45"/>
      <c r="C195" s="37"/>
      <c r="D195" s="37"/>
      <c r="E195" s="37"/>
      <c r="F195" s="38"/>
    </row>
    <row r="196" spans="2:6" ht="114" x14ac:dyDescent="0.2">
      <c r="B196" s="149" t="s">
        <v>76</v>
      </c>
      <c r="C196" s="37" t="s">
        <v>183</v>
      </c>
      <c r="D196" s="37" t="s">
        <v>773</v>
      </c>
      <c r="E196" s="37" t="s">
        <v>774</v>
      </c>
      <c r="F196" s="38" t="s">
        <v>775</v>
      </c>
    </row>
    <row r="197" spans="2:6" ht="99.75" x14ac:dyDescent="0.2">
      <c r="B197" s="149"/>
      <c r="C197" s="37" t="s">
        <v>184</v>
      </c>
      <c r="D197" s="37" t="s">
        <v>776</v>
      </c>
      <c r="E197" s="37" t="s">
        <v>777</v>
      </c>
      <c r="F197" s="38" t="s">
        <v>778</v>
      </c>
    </row>
    <row r="198" spans="2:6" ht="99.75" x14ac:dyDescent="0.2">
      <c r="B198" s="149"/>
      <c r="C198" s="37" t="s">
        <v>185</v>
      </c>
      <c r="D198" s="37" t="s">
        <v>779</v>
      </c>
      <c r="E198" s="37" t="s">
        <v>780</v>
      </c>
      <c r="F198" s="38" t="s">
        <v>781</v>
      </c>
    </row>
    <row r="199" spans="2:6" ht="128.25" x14ac:dyDescent="0.2">
      <c r="B199" s="149"/>
      <c r="C199" s="37" t="s">
        <v>186</v>
      </c>
      <c r="D199" s="37" t="s">
        <v>782</v>
      </c>
      <c r="E199" s="37" t="s">
        <v>783</v>
      </c>
      <c r="F199" s="38" t="s">
        <v>784</v>
      </c>
    </row>
    <row r="200" spans="2:6" ht="114" x14ac:dyDescent="0.2">
      <c r="B200" s="149"/>
      <c r="C200" s="37" t="s">
        <v>187</v>
      </c>
      <c r="D200" s="37" t="s">
        <v>785</v>
      </c>
      <c r="E200" s="37" t="s">
        <v>786</v>
      </c>
      <c r="F200" s="38" t="s">
        <v>787</v>
      </c>
    </row>
    <row r="201" spans="2:6" x14ac:dyDescent="0.2">
      <c r="B201" s="45"/>
      <c r="C201" s="37"/>
      <c r="D201" s="37"/>
      <c r="E201" s="37"/>
      <c r="F201" s="38"/>
    </row>
    <row r="202" spans="2:6" ht="114" x14ac:dyDescent="0.2">
      <c r="B202" s="149" t="s">
        <v>77</v>
      </c>
      <c r="C202" s="37" t="s">
        <v>188</v>
      </c>
      <c r="D202" s="37" t="s">
        <v>788</v>
      </c>
      <c r="E202" s="37" t="s">
        <v>789</v>
      </c>
      <c r="F202" s="38" t="s">
        <v>790</v>
      </c>
    </row>
    <row r="203" spans="2:6" ht="99.75" x14ac:dyDescent="0.2">
      <c r="B203" s="149"/>
      <c r="C203" s="37" t="s">
        <v>189</v>
      </c>
      <c r="D203" s="37" t="s">
        <v>791</v>
      </c>
      <c r="E203" s="37" t="s">
        <v>792</v>
      </c>
      <c r="F203" s="38" t="s">
        <v>793</v>
      </c>
    </row>
    <row r="204" spans="2:6" ht="114" x14ac:dyDescent="0.2">
      <c r="B204" s="149"/>
      <c r="C204" s="37" t="s">
        <v>190</v>
      </c>
      <c r="D204" s="37" t="s">
        <v>794</v>
      </c>
      <c r="E204" s="37" t="s">
        <v>795</v>
      </c>
      <c r="F204" s="38" t="s">
        <v>796</v>
      </c>
    </row>
    <row r="205" spans="2:6" ht="99.75" x14ac:dyDescent="0.2">
      <c r="B205" s="149"/>
      <c r="C205" s="37" t="s">
        <v>191</v>
      </c>
      <c r="D205" s="37" t="s">
        <v>797</v>
      </c>
      <c r="E205" s="37" t="s">
        <v>798</v>
      </c>
      <c r="F205" s="38" t="s">
        <v>799</v>
      </c>
    </row>
    <row r="206" spans="2:6" ht="99.75" x14ac:dyDescent="0.2">
      <c r="B206" s="149"/>
      <c r="C206" s="37" t="s">
        <v>192</v>
      </c>
      <c r="D206" s="37" t="s">
        <v>800</v>
      </c>
      <c r="E206" s="37" t="s">
        <v>801</v>
      </c>
      <c r="F206" s="38" t="s">
        <v>802</v>
      </c>
    </row>
    <row r="207" spans="2:6" x14ac:dyDescent="0.2">
      <c r="B207" s="45"/>
      <c r="C207" s="37"/>
      <c r="D207" s="37"/>
      <c r="E207" s="37"/>
      <c r="F207" s="38"/>
    </row>
    <row r="208" spans="2:6" ht="99.75" x14ac:dyDescent="0.2">
      <c r="B208" s="149" t="s">
        <v>78</v>
      </c>
      <c r="C208" s="37" t="s">
        <v>208</v>
      </c>
      <c r="D208" s="37" t="s">
        <v>803</v>
      </c>
      <c r="E208" s="37" t="s">
        <v>804</v>
      </c>
      <c r="F208" s="38" t="s">
        <v>805</v>
      </c>
    </row>
    <row r="209" spans="2:6" ht="99.75" x14ac:dyDescent="0.2">
      <c r="B209" s="149"/>
      <c r="C209" s="37" t="s">
        <v>209</v>
      </c>
      <c r="D209" s="37" t="s">
        <v>806</v>
      </c>
      <c r="E209" s="37" t="s">
        <v>807</v>
      </c>
      <c r="F209" s="38" t="s">
        <v>808</v>
      </c>
    </row>
    <row r="210" spans="2:6" ht="128.25" x14ac:dyDescent="0.2">
      <c r="B210" s="149"/>
      <c r="C210" s="37" t="s">
        <v>210</v>
      </c>
      <c r="D210" s="37" t="s">
        <v>809</v>
      </c>
      <c r="E210" s="37" t="s">
        <v>810</v>
      </c>
      <c r="F210" s="38" t="s">
        <v>811</v>
      </c>
    </row>
    <row r="211" spans="2:6" ht="99.75" x14ac:dyDescent="0.2">
      <c r="B211" s="149"/>
      <c r="C211" s="37" t="s">
        <v>211</v>
      </c>
      <c r="D211" s="37" t="s">
        <v>812</v>
      </c>
      <c r="E211" s="37" t="s">
        <v>813</v>
      </c>
      <c r="F211" s="38" t="s">
        <v>814</v>
      </c>
    </row>
    <row r="212" spans="2:6" ht="99.75" x14ac:dyDescent="0.2">
      <c r="B212" s="149"/>
      <c r="C212" s="37" t="s">
        <v>212</v>
      </c>
      <c r="D212" s="37" t="s">
        <v>815</v>
      </c>
      <c r="E212" s="37" t="s">
        <v>816</v>
      </c>
      <c r="F212" s="38" t="s">
        <v>817</v>
      </c>
    </row>
    <row r="213" spans="2:6" x14ac:dyDescent="0.2">
      <c r="B213" s="45"/>
      <c r="C213" s="37"/>
      <c r="D213" s="37"/>
      <c r="E213" s="37"/>
      <c r="F213" s="38"/>
    </row>
    <row r="214" spans="2:6" ht="114" x14ac:dyDescent="0.2">
      <c r="B214" s="149" t="s">
        <v>79</v>
      </c>
      <c r="C214" s="37" t="s">
        <v>193</v>
      </c>
      <c r="D214" s="37" t="s">
        <v>818</v>
      </c>
      <c r="E214" s="37" t="s">
        <v>819</v>
      </c>
      <c r="F214" s="38" t="s">
        <v>820</v>
      </c>
    </row>
    <row r="215" spans="2:6" ht="114" x14ac:dyDescent="0.2">
      <c r="B215" s="149"/>
      <c r="C215" s="37" t="s">
        <v>194</v>
      </c>
      <c r="D215" s="37" t="s">
        <v>821</v>
      </c>
      <c r="E215" s="37" t="s">
        <v>822</v>
      </c>
      <c r="F215" s="38" t="s">
        <v>823</v>
      </c>
    </row>
    <row r="216" spans="2:6" ht="99.75" x14ac:dyDescent="0.2">
      <c r="B216" s="149"/>
      <c r="C216" s="37" t="s">
        <v>195</v>
      </c>
      <c r="D216" s="37" t="s">
        <v>824</v>
      </c>
      <c r="E216" s="37" t="s">
        <v>825</v>
      </c>
      <c r="F216" s="38" t="s">
        <v>826</v>
      </c>
    </row>
    <row r="217" spans="2:6" ht="99.75" x14ac:dyDescent="0.2">
      <c r="B217" s="149"/>
      <c r="C217" s="37" t="s">
        <v>196</v>
      </c>
      <c r="D217" s="37" t="s">
        <v>827</v>
      </c>
      <c r="E217" s="37" t="s">
        <v>828</v>
      </c>
      <c r="F217" s="38" t="s">
        <v>829</v>
      </c>
    </row>
    <row r="218" spans="2:6" ht="99.75" x14ac:dyDescent="0.2">
      <c r="B218" s="149"/>
      <c r="C218" s="37" t="s">
        <v>197</v>
      </c>
      <c r="D218" s="37" t="s">
        <v>830</v>
      </c>
      <c r="E218" s="37" t="s">
        <v>831</v>
      </c>
      <c r="F218" s="38" t="s">
        <v>832</v>
      </c>
    </row>
    <row r="219" spans="2:6" x14ac:dyDescent="0.2">
      <c r="B219" s="45"/>
      <c r="C219" s="37"/>
      <c r="D219" s="37"/>
      <c r="E219" s="37"/>
      <c r="F219" s="38"/>
    </row>
    <row r="220" spans="2:6" ht="128.25" x14ac:dyDescent="0.2">
      <c r="B220" s="149" t="s">
        <v>80</v>
      </c>
      <c r="C220" s="37" t="s">
        <v>198</v>
      </c>
      <c r="D220" s="37" t="s">
        <v>833</v>
      </c>
      <c r="E220" s="37" t="s">
        <v>834</v>
      </c>
      <c r="F220" s="38" t="s">
        <v>835</v>
      </c>
    </row>
    <row r="221" spans="2:6" ht="114" x14ac:dyDescent="0.2">
      <c r="B221" s="149"/>
      <c r="C221" s="37" t="s">
        <v>199</v>
      </c>
      <c r="D221" s="37" t="s">
        <v>836</v>
      </c>
      <c r="E221" s="37" t="s">
        <v>837</v>
      </c>
      <c r="F221" s="38" t="s">
        <v>838</v>
      </c>
    </row>
    <row r="222" spans="2:6" ht="128.25" x14ac:dyDescent="0.2">
      <c r="B222" s="149"/>
      <c r="C222" s="37" t="s">
        <v>200</v>
      </c>
      <c r="D222" s="37" t="s">
        <v>839</v>
      </c>
      <c r="E222" s="37" t="s">
        <v>840</v>
      </c>
      <c r="F222" s="38" t="s">
        <v>841</v>
      </c>
    </row>
    <row r="223" spans="2:6" ht="99.75" x14ac:dyDescent="0.2">
      <c r="B223" s="149"/>
      <c r="C223" s="37" t="s">
        <v>201</v>
      </c>
      <c r="D223" s="37" t="s">
        <v>842</v>
      </c>
      <c r="E223" s="37" t="s">
        <v>843</v>
      </c>
      <c r="F223" s="38" t="s">
        <v>844</v>
      </c>
    </row>
    <row r="224" spans="2:6" ht="114" x14ac:dyDescent="0.2">
      <c r="B224" s="149"/>
      <c r="C224" s="37" t="s">
        <v>202</v>
      </c>
      <c r="D224" s="37" t="s">
        <v>845</v>
      </c>
      <c r="E224" s="37" t="s">
        <v>846</v>
      </c>
      <c r="F224" s="38" t="s">
        <v>847</v>
      </c>
    </row>
    <row r="225" spans="2:6" x14ac:dyDescent="0.2">
      <c r="B225" s="45"/>
      <c r="C225" s="37"/>
      <c r="D225" s="37"/>
      <c r="E225" s="37"/>
      <c r="F225" s="38"/>
    </row>
    <row r="226" spans="2:6" ht="128.25" x14ac:dyDescent="0.2">
      <c r="B226" s="149" t="s">
        <v>81</v>
      </c>
      <c r="C226" s="37" t="s">
        <v>213</v>
      </c>
      <c r="D226" s="37" t="s">
        <v>848</v>
      </c>
      <c r="E226" s="37" t="s">
        <v>849</v>
      </c>
      <c r="F226" s="38" t="s">
        <v>850</v>
      </c>
    </row>
    <row r="227" spans="2:6" ht="99.75" x14ac:dyDescent="0.2">
      <c r="B227" s="149"/>
      <c r="C227" s="37" t="s">
        <v>214</v>
      </c>
      <c r="D227" s="37" t="s">
        <v>851</v>
      </c>
      <c r="E227" s="37" t="s">
        <v>852</v>
      </c>
      <c r="F227" s="38" t="s">
        <v>853</v>
      </c>
    </row>
    <row r="228" spans="2:6" ht="114" x14ac:dyDescent="0.2">
      <c r="B228" s="149"/>
      <c r="C228" s="37" t="s">
        <v>215</v>
      </c>
      <c r="D228" s="37" t="s">
        <v>854</v>
      </c>
      <c r="E228" s="37" t="s">
        <v>855</v>
      </c>
      <c r="F228" s="38" t="s">
        <v>856</v>
      </c>
    </row>
    <row r="229" spans="2:6" ht="128.25" x14ac:dyDescent="0.2">
      <c r="B229" s="149"/>
      <c r="C229" s="37" t="s">
        <v>216</v>
      </c>
      <c r="D229" s="37" t="s">
        <v>857</v>
      </c>
      <c r="E229" s="37" t="s">
        <v>858</v>
      </c>
      <c r="F229" s="38" t="s">
        <v>859</v>
      </c>
    </row>
    <row r="230" spans="2:6" ht="99.75" x14ac:dyDescent="0.2">
      <c r="B230" s="149"/>
      <c r="C230" s="37" t="s">
        <v>217</v>
      </c>
      <c r="D230" s="37" t="s">
        <v>860</v>
      </c>
      <c r="E230" s="37" t="s">
        <v>861</v>
      </c>
      <c r="F230" s="38" t="s">
        <v>862</v>
      </c>
    </row>
    <row r="231" spans="2:6" x14ac:dyDescent="0.2">
      <c r="B231" s="45"/>
      <c r="C231" s="37"/>
      <c r="D231" s="37"/>
      <c r="E231" s="37"/>
      <c r="F231" s="38"/>
    </row>
    <row r="232" spans="2:6" ht="99.75" x14ac:dyDescent="0.2">
      <c r="B232" s="149" t="s">
        <v>82</v>
      </c>
      <c r="C232" s="37" t="s">
        <v>218</v>
      </c>
      <c r="D232" s="37" t="s">
        <v>863</v>
      </c>
      <c r="E232" s="37" t="s">
        <v>864</v>
      </c>
      <c r="F232" s="38" t="s">
        <v>865</v>
      </c>
    </row>
    <row r="233" spans="2:6" ht="142.5" x14ac:dyDescent="0.2">
      <c r="B233" s="149"/>
      <c r="C233" s="37" t="s">
        <v>219</v>
      </c>
      <c r="D233" s="37" t="s">
        <v>866</v>
      </c>
      <c r="E233" s="37" t="s">
        <v>867</v>
      </c>
      <c r="F233" s="38" t="s">
        <v>868</v>
      </c>
    </row>
    <row r="234" spans="2:6" ht="99.75" x14ac:dyDescent="0.2">
      <c r="B234" s="149"/>
      <c r="C234" s="37" t="s">
        <v>220</v>
      </c>
      <c r="D234" s="37" t="s">
        <v>869</v>
      </c>
      <c r="E234" s="37" t="s">
        <v>870</v>
      </c>
      <c r="F234" s="38" t="s">
        <v>871</v>
      </c>
    </row>
    <row r="235" spans="2:6" ht="114" x14ac:dyDescent="0.2">
      <c r="B235" s="149"/>
      <c r="C235" s="37" t="s">
        <v>221</v>
      </c>
      <c r="D235" s="37" t="s">
        <v>872</v>
      </c>
      <c r="E235" s="37" t="s">
        <v>873</v>
      </c>
      <c r="F235" s="38" t="s">
        <v>874</v>
      </c>
    </row>
    <row r="236" spans="2:6" ht="99.75" x14ac:dyDescent="0.2">
      <c r="B236" s="149"/>
      <c r="C236" s="37" t="s">
        <v>222</v>
      </c>
      <c r="D236" s="37" t="s">
        <v>875</v>
      </c>
      <c r="E236" s="37" t="s">
        <v>876</v>
      </c>
      <c r="F236" s="38" t="s">
        <v>877</v>
      </c>
    </row>
    <row r="237" spans="2:6" x14ac:dyDescent="0.2">
      <c r="B237" s="45"/>
      <c r="C237" s="37"/>
      <c r="D237" s="37"/>
      <c r="E237" s="37"/>
      <c r="F237" s="38"/>
    </row>
    <row r="238" spans="2:6" ht="114" x14ac:dyDescent="0.2">
      <c r="B238" s="149" t="s">
        <v>83</v>
      </c>
      <c r="C238" s="37" t="s">
        <v>223</v>
      </c>
      <c r="D238" s="37" t="s">
        <v>878</v>
      </c>
      <c r="E238" s="37" t="s">
        <v>879</v>
      </c>
      <c r="F238" s="38" t="s">
        <v>880</v>
      </c>
    </row>
    <row r="239" spans="2:6" ht="85.5" x14ac:dyDescent="0.2">
      <c r="B239" s="149"/>
      <c r="C239" s="37" t="s">
        <v>224</v>
      </c>
      <c r="D239" s="37" t="s">
        <v>881</v>
      </c>
      <c r="E239" s="37" t="s">
        <v>882</v>
      </c>
      <c r="F239" s="38" t="s">
        <v>883</v>
      </c>
    </row>
    <row r="240" spans="2:6" ht="99.75" x14ac:dyDescent="0.2">
      <c r="B240" s="149"/>
      <c r="C240" s="37" t="s">
        <v>225</v>
      </c>
      <c r="D240" s="37" t="s">
        <v>884</v>
      </c>
      <c r="E240" s="37" t="s">
        <v>885</v>
      </c>
      <c r="F240" s="38" t="s">
        <v>886</v>
      </c>
    </row>
    <row r="241" spans="2:6" ht="99.75" x14ac:dyDescent="0.2">
      <c r="B241" s="149"/>
      <c r="C241" s="37" t="s">
        <v>226</v>
      </c>
      <c r="D241" s="37" t="s">
        <v>887</v>
      </c>
      <c r="E241" s="37" t="s">
        <v>888</v>
      </c>
      <c r="F241" s="38" t="s">
        <v>889</v>
      </c>
    </row>
    <row r="242" spans="2:6" ht="99.75" x14ac:dyDescent="0.2">
      <c r="B242" s="149"/>
      <c r="C242" s="37" t="s">
        <v>227</v>
      </c>
      <c r="D242" s="37" t="s">
        <v>890</v>
      </c>
      <c r="E242" s="37" t="s">
        <v>891</v>
      </c>
      <c r="F242" s="38" t="s">
        <v>892</v>
      </c>
    </row>
    <row r="243" spans="2:6" x14ac:dyDescent="0.2">
      <c r="B243" s="45"/>
      <c r="C243" s="37"/>
      <c r="D243" s="37"/>
      <c r="E243" s="37"/>
      <c r="F243" s="38"/>
    </row>
    <row r="244" spans="2:6" ht="114" x14ac:dyDescent="0.2">
      <c r="B244" s="149" t="s">
        <v>84</v>
      </c>
      <c r="C244" s="37" t="s">
        <v>228</v>
      </c>
      <c r="D244" s="37" t="s">
        <v>893</v>
      </c>
      <c r="E244" s="37" t="s">
        <v>894</v>
      </c>
      <c r="F244" s="38" t="s">
        <v>895</v>
      </c>
    </row>
    <row r="245" spans="2:6" ht="99.75" x14ac:dyDescent="0.2">
      <c r="B245" s="149"/>
      <c r="C245" s="37" t="s">
        <v>229</v>
      </c>
      <c r="D245" s="37" t="s">
        <v>896</v>
      </c>
      <c r="E245" s="37" t="s">
        <v>897</v>
      </c>
      <c r="F245" s="38" t="s">
        <v>898</v>
      </c>
    </row>
    <row r="246" spans="2:6" ht="114" x14ac:dyDescent="0.2">
      <c r="B246" s="149"/>
      <c r="C246" s="37" t="s">
        <v>230</v>
      </c>
      <c r="D246" s="37" t="s">
        <v>899</v>
      </c>
      <c r="E246" s="37" t="s">
        <v>900</v>
      </c>
      <c r="F246" s="38" t="s">
        <v>901</v>
      </c>
    </row>
    <row r="247" spans="2:6" ht="114" x14ac:dyDescent="0.2">
      <c r="B247" s="149"/>
      <c r="C247" s="37" t="s">
        <v>231</v>
      </c>
      <c r="D247" s="37" t="s">
        <v>902</v>
      </c>
      <c r="E247" s="37" t="s">
        <v>903</v>
      </c>
      <c r="F247" s="38" t="s">
        <v>904</v>
      </c>
    </row>
    <row r="248" spans="2:6" ht="114" x14ac:dyDescent="0.2">
      <c r="B248" s="149"/>
      <c r="C248" s="37" t="s">
        <v>232</v>
      </c>
      <c r="D248" s="37" t="s">
        <v>905</v>
      </c>
      <c r="E248" s="37" t="s">
        <v>906</v>
      </c>
      <c r="F248" s="38" t="s">
        <v>907</v>
      </c>
    </row>
    <row r="249" spans="2:6" x14ac:dyDescent="0.2">
      <c r="B249" s="45"/>
      <c r="C249" s="37"/>
      <c r="D249" s="37"/>
      <c r="E249" s="37"/>
      <c r="F249" s="38"/>
    </row>
    <row r="250" spans="2:6" ht="128.25" x14ac:dyDescent="0.2">
      <c r="B250" s="149" t="s">
        <v>85</v>
      </c>
      <c r="C250" s="37" t="s">
        <v>233</v>
      </c>
      <c r="D250" s="37" t="s">
        <v>908</v>
      </c>
      <c r="E250" s="37" t="s">
        <v>909</v>
      </c>
      <c r="F250" s="38" t="s">
        <v>910</v>
      </c>
    </row>
    <row r="251" spans="2:6" ht="128.25" x14ac:dyDescent="0.2">
      <c r="B251" s="149"/>
      <c r="C251" s="37" t="s">
        <v>234</v>
      </c>
      <c r="D251" s="37" t="s">
        <v>911</v>
      </c>
      <c r="E251" s="37" t="s">
        <v>912</v>
      </c>
      <c r="F251" s="38" t="s">
        <v>913</v>
      </c>
    </row>
    <row r="252" spans="2:6" ht="99.75" x14ac:dyDescent="0.2">
      <c r="B252" s="149"/>
      <c r="C252" s="37" t="s">
        <v>235</v>
      </c>
      <c r="D252" s="37" t="s">
        <v>914</v>
      </c>
      <c r="E252" s="37" t="s">
        <v>915</v>
      </c>
      <c r="F252" s="38" t="s">
        <v>916</v>
      </c>
    </row>
    <row r="253" spans="2:6" ht="99.75" x14ac:dyDescent="0.2">
      <c r="B253" s="149"/>
      <c r="C253" s="37" t="s">
        <v>236</v>
      </c>
      <c r="D253" s="37" t="s">
        <v>917</v>
      </c>
      <c r="E253" s="37" t="s">
        <v>918</v>
      </c>
      <c r="F253" s="38" t="s">
        <v>919</v>
      </c>
    </row>
    <row r="254" spans="2:6" ht="128.25" x14ac:dyDescent="0.2">
      <c r="B254" s="149"/>
      <c r="C254" s="37" t="s">
        <v>237</v>
      </c>
      <c r="D254" s="37" t="s">
        <v>920</v>
      </c>
      <c r="E254" s="37" t="s">
        <v>921</v>
      </c>
      <c r="F254" s="38" t="s">
        <v>922</v>
      </c>
    </row>
    <row r="255" spans="2:6" x14ac:dyDescent="0.2">
      <c r="B255" s="45"/>
      <c r="C255" s="37"/>
      <c r="D255" s="37"/>
      <c r="E255" s="37"/>
      <c r="F255" s="38"/>
    </row>
    <row r="256" spans="2:6" ht="128.25" x14ac:dyDescent="0.2">
      <c r="B256" s="149" t="s">
        <v>86</v>
      </c>
      <c r="C256" s="37" t="s">
        <v>238</v>
      </c>
      <c r="D256" s="37" t="s">
        <v>923</v>
      </c>
      <c r="E256" s="37" t="s">
        <v>924</v>
      </c>
      <c r="F256" s="38" t="s">
        <v>925</v>
      </c>
    </row>
    <row r="257" spans="2:6" ht="99.75" x14ac:dyDescent="0.2">
      <c r="B257" s="149"/>
      <c r="C257" s="37" t="s">
        <v>239</v>
      </c>
      <c r="D257" s="37" t="s">
        <v>926</v>
      </c>
      <c r="E257" s="37" t="s">
        <v>927</v>
      </c>
      <c r="F257" s="38" t="s">
        <v>928</v>
      </c>
    </row>
    <row r="258" spans="2:6" ht="85.5" x14ac:dyDescent="0.2">
      <c r="B258" s="149"/>
      <c r="C258" s="37" t="s">
        <v>240</v>
      </c>
      <c r="D258" s="37" t="s">
        <v>929</v>
      </c>
      <c r="E258" s="37" t="s">
        <v>930</v>
      </c>
      <c r="F258" s="38" t="s">
        <v>931</v>
      </c>
    </row>
    <row r="259" spans="2:6" ht="99.75" x14ac:dyDescent="0.2">
      <c r="B259" s="149"/>
      <c r="C259" s="37" t="s">
        <v>241</v>
      </c>
      <c r="D259" s="37" t="s">
        <v>932</v>
      </c>
      <c r="E259" s="37" t="s">
        <v>933</v>
      </c>
      <c r="F259" s="38" t="s">
        <v>934</v>
      </c>
    </row>
    <row r="260" spans="2:6" ht="99.75" x14ac:dyDescent="0.2">
      <c r="B260" s="149"/>
      <c r="C260" s="37" t="s">
        <v>242</v>
      </c>
      <c r="D260" s="37" t="s">
        <v>935</v>
      </c>
      <c r="E260" s="37" t="s">
        <v>936</v>
      </c>
      <c r="F260" s="38" t="s">
        <v>937</v>
      </c>
    </row>
    <row r="261" spans="2:6" x14ac:dyDescent="0.2">
      <c r="B261" s="45"/>
      <c r="C261" s="37"/>
      <c r="D261" s="37"/>
      <c r="E261" s="37"/>
      <c r="F261" s="38"/>
    </row>
    <row r="262" spans="2:6" ht="114" x14ac:dyDescent="0.2">
      <c r="B262" s="149" t="s">
        <v>87</v>
      </c>
      <c r="C262" s="37" t="s">
        <v>243</v>
      </c>
      <c r="D262" s="37" t="s">
        <v>938</v>
      </c>
      <c r="E262" s="37" t="s">
        <v>939</v>
      </c>
      <c r="F262" s="38" t="s">
        <v>940</v>
      </c>
    </row>
    <row r="263" spans="2:6" ht="114" x14ac:dyDescent="0.2">
      <c r="B263" s="149"/>
      <c r="C263" s="37" t="s">
        <v>244</v>
      </c>
      <c r="D263" s="37" t="s">
        <v>941</v>
      </c>
      <c r="E263" s="37" t="s">
        <v>942</v>
      </c>
      <c r="F263" s="38" t="s">
        <v>943</v>
      </c>
    </row>
    <row r="264" spans="2:6" ht="99.75" x14ac:dyDescent="0.2">
      <c r="B264" s="149"/>
      <c r="C264" s="37" t="s">
        <v>245</v>
      </c>
      <c r="D264" s="37" t="s">
        <v>944</v>
      </c>
      <c r="E264" s="37" t="s">
        <v>945</v>
      </c>
      <c r="F264" s="38" t="s">
        <v>946</v>
      </c>
    </row>
    <row r="265" spans="2:6" ht="99.75" x14ac:dyDescent="0.2">
      <c r="B265" s="149"/>
      <c r="C265" s="37" t="s">
        <v>246</v>
      </c>
      <c r="D265" s="37" t="s">
        <v>947</v>
      </c>
      <c r="E265" s="37" t="s">
        <v>948</v>
      </c>
      <c r="F265" s="38" t="s">
        <v>949</v>
      </c>
    </row>
    <row r="266" spans="2:6" ht="114" x14ac:dyDescent="0.2">
      <c r="B266" s="149"/>
      <c r="C266" s="37" t="s">
        <v>247</v>
      </c>
      <c r="D266" s="37" t="s">
        <v>950</v>
      </c>
      <c r="E266" s="37" t="s">
        <v>951</v>
      </c>
      <c r="F266" s="38" t="s">
        <v>952</v>
      </c>
    </row>
    <row r="267" spans="2:6" x14ac:dyDescent="0.2">
      <c r="B267" s="45"/>
      <c r="C267" s="37"/>
      <c r="D267" s="37"/>
      <c r="E267" s="37"/>
      <c r="F267" s="38"/>
    </row>
    <row r="268" spans="2:6" ht="128.25" x14ac:dyDescent="0.2">
      <c r="B268" s="149" t="s">
        <v>88</v>
      </c>
      <c r="C268" s="37" t="s">
        <v>248</v>
      </c>
      <c r="D268" s="37" t="s">
        <v>953</v>
      </c>
      <c r="E268" s="37" t="s">
        <v>954</v>
      </c>
      <c r="F268" s="38" t="s">
        <v>955</v>
      </c>
    </row>
    <row r="269" spans="2:6" ht="99.75" x14ac:dyDescent="0.2">
      <c r="B269" s="149"/>
      <c r="C269" s="37" t="s">
        <v>249</v>
      </c>
      <c r="D269" s="37" t="s">
        <v>956</v>
      </c>
      <c r="E269" s="37" t="s">
        <v>957</v>
      </c>
      <c r="F269" s="38" t="s">
        <v>958</v>
      </c>
    </row>
    <row r="270" spans="2:6" ht="114" x14ac:dyDescent="0.2">
      <c r="B270" s="149"/>
      <c r="C270" s="37" t="s">
        <v>250</v>
      </c>
      <c r="D270" s="37" t="s">
        <v>959</v>
      </c>
      <c r="E270" s="37" t="s">
        <v>960</v>
      </c>
      <c r="F270" s="38" t="s">
        <v>961</v>
      </c>
    </row>
    <row r="271" spans="2:6" ht="99.75" x14ac:dyDescent="0.2">
      <c r="B271" s="149"/>
      <c r="C271" s="37" t="s">
        <v>251</v>
      </c>
      <c r="D271" s="37" t="s">
        <v>962</v>
      </c>
      <c r="E271" s="37" t="s">
        <v>963</v>
      </c>
      <c r="F271" s="38" t="s">
        <v>964</v>
      </c>
    </row>
    <row r="272" spans="2:6" ht="114" x14ac:dyDescent="0.2">
      <c r="B272" s="149"/>
      <c r="C272" s="37" t="s">
        <v>252</v>
      </c>
      <c r="D272" s="37" t="s">
        <v>965</v>
      </c>
      <c r="E272" s="37" t="s">
        <v>966</v>
      </c>
      <c r="F272" s="38" t="s">
        <v>967</v>
      </c>
    </row>
    <row r="273" spans="2:6" x14ac:dyDescent="0.2">
      <c r="B273" s="45"/>
      <c r="C273" s="37"/>
      <c r="D273" s="37"/>
      <c r="E273" s="37"/>
      <c r="F273" s="38"/>
    </row>
    <row r="274" spans="2:6" ht="142.5" x14ac:dyDescent="0.2">
      <c r="B274" s="149" t="s">
        <v>89</v>
      </c>
      <c r="C274" s="37" t="s">
        <v>253</v>
      </c>
      <c r="D274" s="37" t="s">
        <v>968</v>
      </c>
      <c r="E274" s="37" t="s">
        <v>969</v>
      </c>
      <c r="F274" s="38" t="s">
        <v>970</v>
      </c>
    </row>
    <row r="275" spans="2:6" ht="99.75" x14ac:dyDescent="0.2">
      <c r="B275" s="149"/>
      <c r="C275" s="37" t="s">
        <v>254</v>
      </c>
      <c r="D275" s="37" t="s">
        <v>971</v>
      </c>
      <c r="E275" s="37" t="s">
        <v>972</v>
      </c>
      <c r="F275" s="38" t="s">
        <v>973</v>
      </c>
    </row>
    <row r="276" spans="2:6" ht="128.25" x14ac:dyDescent="0.2">
      <c r="B276" s="149"/>
      <c r="C276" s="37" t="s">
        <v>255</v>
      </c>
      <c r="D276" s="37" t="s">
        <v>974</v>
      </c>
      <c r="E276" s="37" t="s">
        <v>975</v>
      </c>
      <c r="F276" s="38" t="s">
        <v>976</v>
      </c>
    </row>
    <row r="277" spans="2:6" ht="99.75" x14ac:dyDescent="0.2">
      <c r="B277" s="149"/>
      <c r="C277" s="37" t="s">
        <v>256</v>
      </c>
      <c r="D277" s="37" t="s">
        <v>977</v>
      </c>
      <c r="E277" s="37" t="s">
        <v>978</v>
      </c>
      <c r="F277" s="38" t="s">
        <v>979</v>
      </c>
    </row>
    <row r="278" spans="2:6" ht="114" x14ac:dyDescent="0.2">
      <c r="B278" s="149"/>
      <c r="C278" s="37" t="s">
        <v>257</v>
      </c>
      <c r="D278" s="37" t="s">
        <v>980</v>
      </c>
      <c r="E278" s="37" t="s">
        <v>981</v>
      </c>
      <c r="F278" s="38" t="s">
        <v>982</v>
      </c>
    </row>
    <row r="279" spans="2:6" x14ac:dyDescent="0.2">
      <c r="B279" s="45"/>
      <c r="C279" s="37"/>
      <c r="D279" s="37"/>
      <c r="E279" s="37"/>
      <c r="F279" s="38"/>
    </row>
    <row r="280" spans="2:6" ht="142.5" x14ac:dyDescent="0.2">
      <c r="B280" s="149" t="s">
        <v>90</v>
      </c>
      <c r="C280" s="37" t="s">
        <v>258</v>
      </c>
      <c r="D280" s="37" t="s">
        <v>983</v>
      </c>
      <c r="E280" s="37" t="s">
        <v>984</v>
      </c>
      <c r="F280" s="38" t="s">
        <v>985</v>
      </c>
    </row>
    <row r="281" spans="2:6" ht="128.25" x14ac:dyDescent="0.2">
      <c r="B281" s="149"/>
      <c r="C281" s="37" t="s">
        <v>259</v>
      </c>
      <c r="D281" s="37" t="s">
        <v>986</v>
      </c>
      <c r="E281" s="37" t="s">
        <v>987</v>
      </c>
      <c r="F281" s="38" t="s">
        <v>988</v>
      </c>
    </row>
    <row r="282" spans="2:6" ht="128.25" x14ac:dyDescent="0.2">
      <c r="B282" s="149"/>
      <c r="C282" s="37" t="s">
        <v>260</v>
      </c>
      <c r="D282" s="37" t="s">
        <v>989</v>
      </c>
      <c r="E282" s="37" t="s">
        <v>990</v>
      </c>
      <c r="F282" s="38" t="s">
        <v>991</v>
      </c>
    </row>
    <row r="283" spans="2:6" ht="114" x14ac:dyDescent="0.2">
      <c r="B283" s="149"/>
      <c r="C283" s="37" t="s">
        <v>261</v>
      </c>
      <c r="D283" s="37" t="s">
        <v>992</v>
      </c>
      <c r="E283" s="37" t="s">
        <v>993</v>
      </c>
      <c r="F283" s="38" t="s">
        <v>994</v>
      </c>
    </row>
    <row r="284" spans="2:6" ht="114" x14ac:dyDescent="0.2">
      <c r="B284" s="149"/>
      <c r="C284" s="37" t="s">
        <v>262</v>
      </c>
      <c r="D284" s="37" t="s">
        <v>995</v>
      </c>
      <c r="E284" s="37" t="s">
        <v>996</v>
      </c>
      <c r="F284" s="38" t="s">
        <v>997</v>
      </c>
    </row>
    <row r="285" spans="2:6" x14ac:dyDescent="0.2">
      <c r="B285" s="45"/>
      <c r="C285" s="37"/>
      <c r="D285" s="37"/>
      <c r="E285" s="37"/>
      <c r="F285" s="38"/>
    </row>
    <row r="286" spans="2:6" ht="128.25" x14ac:dyDescent="0.2">
      <c r="B286" s="149" t="s">
        <v>91</v>
      </c>
      <c r="C286" s="37" t="s">
        <v>263</v>
      </c>
      <c r="D286" s="37" t="s">
        <v>998</v>
      </c>
      <c r="E286" s="37" t="s">
        <v>999</v>
      </c>
      <c r="F286" s="38" t="s">
        <v>1000</v>
      </c>
    </row>
    <row r="287" spans="2:6" ht="128.25" x14ac:dyDescent="0.2">
      <c r="B287" s="149"/>
      <c r="C287" s="37" t="s">
        <v>264</v>
      </c>
      <c r="D287" s="37" t="s">
        <v>1001</v>
      </c>
      <c r="E287" s="37" t="s">
        <v>1002</v>
      </c>
      <c r="F287" s="38" t="s">
        <v>1003</v>
      </c>
    </row>
    <row r="288" spans="2:6" ht="114" x14ac:dyDescent="0.2">
      <c r="B288" s="149"/>
      <c r="C288" s="37" t="s">
        <v>265</v>
      </c>
      <c r="D288" s="37" t="s">
        <v>1004</v>
      </c>
      <c r="E288" s="37" t="s">
        <v>1005</v>
      </c>
      <c r="F288" s="38" t="s">
        <v>1006</v>
      </c>
    </row>
    <row r="289" spans="2:6" ht="99.75" x14ac:dyDescent="0.2">
      <c r="B289" s="149"/>
      <c r="C289" s="37" t="s">
        <v>266</v>
      </c>
      <c r="D289" s="37" t="s">
        <v>1007</v>
      </c>
      <c r="E289" s="37" t="s">
        <v>1008</v>
      </c>
      <c r="F289" s="38" t="s">
        <v>1009</v>
      </c>
    </row>
    <row r="290" spans="2:6" ht="114" x14ac:dyDescent="0.2">
      <c r="B290" s="149"/>
      <c r="C290" s="37" t="s">
        <v>267</v>
      </c>
      <c r="D290" s="37" t="s">
        <v>1010</v>
      </c>
      <c r="E290" s="37" t="s">
        <v>1011</v>
      </c>
      <c r="F290" s="38" t="s">
        <v>1012</v>
      </c>
    </row>
    <row r="291" spans="2:6" x14ac:dyDescent="0.2">
      <c r="B291" s="45"/>
      <c r="C291" s="37"/>
      <c r="D291" s="37"/>
      <c r="E291" s="37"/>
      <c r="F291" s="38"/>
    </row>
    <row r="292" spans="2:6" ht="128.25" x14ac:dyDescent="0.2">
      <c r="B292" s="149" t="s">
        <v>92</v>
      </c>
      <c r="C292" s="37" t="s">
        <v>268</v>
      </c>
      <c r="D292" s="37" t="s">
        <v>1013</v>
      </c>
      <c r="E292" s="37" t="s">
        <v>1014</v>
      </c>
      <c r="F292" s="38" t="s">
        <v>1015</v>
      </c>
    </row>
    <row r="293" spans="2:6" ht="114" x14ac:dyDescent="0.2">
      <c r="B293" s="149"/>
      <c r="C293" s="37" t="s">
        <v>269</v>
      </c>
      <c r="D293" s="37" t="s">
        <v>1016</v>
      </c>
      <c r="E293" s="37" t="s">
        <v>1017</v>
      </c>
      <c r="F293" s="38" t="s">
        <v>1018</v>
      </c>
    </row>
    <row r="294" spans="2:6" ht="99.75" x14ac:dyDescent="0.2">
      <c r="B294" s="149"/>
      <c r="C294" s="37" t="s">
        <v>270</v>
      </c>
      <c r="D294" s="37" t="s">
        <v>1019</v>
      </c>
      <c r="E294" s="37" t="s">
        <v>1020</v>
      </c>
      <c r="F294" s="38" t="s">
        <v>1021</v>
      </c>
    </row>
    <row r="295" spans="2:6" ht="99.75" x14ac:dyDescent="0.2">
      <c r="B295" s="149"/>
      <c r="C295" s="37" t="s">
        <v>271</v>
      </c>
      <c r="D295" s="37" t="s">
        <v>1022</v>
      </c>
      <c r="E295" s="37" t="s">
        <v>1023</v>
      </c>
      <c r="F295" s="38" t="s">
        <v>1024</v>
      </c>
    </row>
    <row r="296" spans="2:6" ht="114" x14ac:dyDescent="0.2">
      <c r="B296" s="149"/>
      <c r="C296" s="37" t="s">
        <v>272</v>
      </c>
      <c r="D296" s="37" t="s">
        <v>1025</v>
      </c>
      <c r="E296" s="37" t="s">
        <v>1026</v>
      </c>
      <c r="F296" s="38" t="s">
        <v>1027</v>
      </c>
    </row>
    <row r="297" spans="2:6" x14ac:dyDescent="0.2">
      <c r="B297" s="45"/>
      <c r="C297" s="37"/>
      <c r="D297" s="37"/>
      <c r="E297" s="37"/>
      <c r="F297" s="38"/>
    </row>
    <row r="298" spans="2:6" ht="128.25" x14ac:dyDescent="0.2">
      <c r="B298" s="149" t="s">
        <v>93</v>
      </c>
      <c r="C298" s="37" t="s">
        <v>273</v>
      </c>
      <c r="D298" s="37" t="s">
        <v>1028</v>
      </c>
      <c r="E298" s="37" t="s">
        <v>1029</v>
      </c>
      <c r="F298" s="38" t="s">
        <v>1030</v>
      </c>
    </row>
    <row r="299" spans="2:6" ht="99.75" x14ac:dyDescent="0.2">
      <c r="B299" s="149"/>
      <c r="C299" s="37" t="s">
        <v>274</v>
      </c>
      <c r="D299" s="37" t="s">
        <v>1031</v>
      </c>
      <c r="E299" s="37" t="s">
        <v>1032</v>
      </c>
      <c r="F299" s="38" t="s">
        <v>1033</v>
      </c>
    </row>
    <row r="300" spans="2:6" ht="114" x14ac:dyDescent="0.2">
      <c r="B300" s="149"/>
      <c r="C300" s="37" t="s">
        <v>275</v>
      </c>
      <c r="D300" s="37" t="s">
        <v>1034</v>
      </c>
      <c r="E300" s="37" t="s">
        <v>1035</v>
      </c>
      <c r="F300" s="38" t="s">
        <v>1036</v>
      </c>
    </row>
    <row r="301" spans="2:6" ht="128.25" x14ac:dyDescent="0.2">
      <c r="B301" s="149"/>
      <c r="C301" s="37" t="s">
        <v>276</v>
      </c>
      <c r="D301" s="37" t="s">
        <v>1037</v>
      </c>
      <c r="E301" s="37" t="s">
        <v>1038</v>
      </c>
      <c r="F301" s="38" t="s">
        <v>1039</v>
      </c>
    </row>
    <row r="302" spans="2:6" ht="128.25" x14ac:dyDescent="0.2">
      <c r="B302" s="149"/>
      <c r="C302" s="37" t="s">
        <v>277</v>
      </c>
      <c r="D302" s="37" t="s">
        <v>1040</v>
      </c>
      <c r="E302" s="37" t="s">
        <v>1041</v>
      </c>
      <c r="F302" s="38" t="s">
        <v>1042</v>
      </c>
    </row>
    <row r="303" spans="2:6" x14ac:dyDescent="0.2">
      <c r="B303" s="45"/>
      <c r="C303" s="37"/>
      <c r="D303" s="37"/>
      <c r="E303" s="37"/>
      <c r="F303" s="38"/>
    </row>
    <row r="304" spans="2:6" ht="114" x14ac:dyDescent="0.2">
      <c r="B304" s="149" t="s">
        <v>94</v>
      </c>
      <c r="C304" s="37" t="s">
        <v>278</v>
      </c>
      <c r="D304" s="37" t="s">
        <v>1043</v>
      </c>
      <c r="E304" s="37" t="s">
        <v>1044</v>
      </c>
      <c r="F304" s="38" t="s">
        <v>1045</v>
      </c>
    </row>
    <row r="305" spans="2:6" ht="114" x14ac:dyDescent="0.2">
      <c r="B305" s="149"/>
      <c r="C305" s="37" t="s">
        <v>279</v>
      </c>
      <c r="D305" s="37" t="s">
        <v>1046</v>
      </c>
      <c r="E305" s="37" t="s">
        <v>1047</v>
      </c>
      <c r="F305" s="38" t="s">
        <v>1048</v>
      </c>
    </row>
    <row r="306" spans="2:6" ht="128.25" x14ac:dyDescent="0.2">
      <c r="B306" s="149"/>
      <c r="C306" s="37" t="s">
        <v>280</v>
      </c>
      <c r="D306" s="37" t="s">
        <v>1049</v>
      </c>
      <c r="E306" s="37" t="s">
        <v>1050</v>
      </c>
      <c r="F306" s="38" t="s">
        <v>1051</v>
      </c>
    </row>
    <row r="307" spans="2:6" ht="99.75" x14ac:dyDescent="0.2">
      <c r="B307" s="149"/>
      <c r="C307" s="37" t="s">
        <v>281</v>
      </c>
      <c r="D307" s="37" t="s">
        <v>1052</v>
      </c>
      <c r="E307" s="37" t="s">
        <v>1053</v>
      </c>
      <c r="F307" s="38" t="s">
        <v>1054</v>
      </c>
    </row>
    <row r="308" spans="2:6" ht="128.25" x14ac:dyDescent="0.2">
      <c r="B308" s="149"/>
      <c r="C308" s="37" t="s">
        <v>282</v>
      </c>
      <c r="D308" s="37" t="s">
        <v>1055</v>
      </c>
      <c r="E308" s="37" t="s">
        <v>1056</v>
      </c>
      <c r="F308" s="38" t="s">
        <v>1057</v>
      </c>
    </row>
    <row r="309" spans="2:6" x14ac:dyDescent="0.2">
      <c r="B309" s="149" t="s">
        <v>95</v>
      </c>
      <c r="C309" s="37"/>
      <c r="D309" s="37"/>
      <c r="E309" s="37"/>
      <c r="F309" s="38"/>
    </row>
    <row r="310" spans="2:6" ht="114" x14ac:dyDescent="0.2">
      <c r="B310" s="149"/>
      <c r="C310" s="37" t="s">
        <v>283</v>
      </c>
      <c r="D310" s="37" t="s">
        <v>1058</v>
      </c>
      <c r="E310" s="37" t="s">
        <v>1059</v>
      </c>
      <c r="F310" s="38" t="s">
        <v>1060</v>
      </c>
    </row>
    <row r="311" spans="2:6" ht="114" x14ac:dyDescent="0.2">
      <c r="B311" s="149"/>
      <c r="C311" s="37" t="s">
        <v>284</v>
      </c>
      <c r="D311" s="37" t="s">
        <v>1061</v>
      </c>
      <c r="E311" s="37" t="s">
        <v>1062</v>
      </c>
      <c r="F311" s="38" t="s">
        <v>1063</v>
      </c>
    </row>
    <row r="312" spans="2:6" ht="99.75" x14ac:dyDescent="0.2">
      <c r="B312" s="149"/>
      <c r="C312" s="37" t="s">
        <v>285</v>
      </c>
      <c r="D312" s="37" t="s">
        <v>1064</v>
      </c>
      <c r="E312" s="37" t="s">
        <v>1065</v>
      </c>
      <c r="F312" s="38" t="s">
        <v>1066</v>
      </c>
    </row>
    <row r="313" spans="2:6" ht="85.5" x14ac:dyDescent="0.2">
      <c r="B313" s="149"/>
      <c r="C313" s="37" t="s">
        <v>286</v>
      </c>
      <c r="D313" s="37" t="s">
        <v>1067</v>
      </c>
      <c r="E313" s="37" t="s">
        <v>1068</v>
      </c>
      <c r="F313" s="38" t="s">
        <v>1069</v>
      </c>
    </row>
    <row r="314" spans="2:6" ht="128.25" x14ac:dyDescent="0.2">
      <c r="B314" s="149"/>
      <c r="C314" s="37" t="s">
        <v>287</v>
      </c>
      <c r="D314" s="37" t="s">
        <v>1070</v>
      </c>
      <c r="E314" s="37" t="s">
        <v>1071</v>
      </c>
      <c r="F314" s="38" t="s">
        <v>1072</v>
      </c>
    </row>
    <row r="315" spans="2:6" x14ac:dyDescent="0.2">
      <c r="B315" s="45"/>
      <c r="C315" s="37"/>
      <c r="D315" s="37"/>
      <c r="E315" s="37"/>
      <c r="F315" s="38"/>
    </row>
    <row r="316" spans="2:6" ht="114" x14ac:dyDescent="0.2">
      <c r="B316" s="149" t="s">
        <v>96</v>
      </c>
      <c r="C316" s="37" t="s">
        <v>288</v>
      </c>
      <c r="D316" s="37" t="s">
        <v>1073</v>
      </c>
      <c r="E316" s="37" t="s">
        <v>1074</v>
      </c>
      <c r="F316" s="38" t="s">
        <v>1075</v>
      </c>
    </row>
    <row r="317" spans="2:6" ht="99.75" x14ac:dyDescent="0.2">
      <c r="B317" s="149"/>
      <c r="C317" s="37" t="s">
        <v>289</v>
      </c>
      <c r="D317" s="37" t="s">
        <v>1076</v>
      </c>
      <c r="E317" s="37" t="s">
        <v>1077</v>
      </c>
      <c r="F317" s="38" t="s">
        <v>1078</v>
      </c>
    </row>
    <row r="318" spans="2:6" ht="99.75" x14ac:dyDescent="0.2">
      <c r="B318" s="149"/>
      <c r="C318" s="37" t="s">
        <v>290</v>
      </c>
      <c r="D318" s="37" t="s">
        <v>1079</v>
      </c>
      <c r="E318" s="37" t="s">
        <v>1080</v>
      </c>
      <c r="F318" s="38" t="s">
        <v>1081</v>
      </c>
    </row>
    <row r="319" spans="2:6" ht="85.5" x14ac:dyDescent="0.2">
      <c r="B319" s="149"/>
      <c r="C319" s="37" t="s">
        <v>291</v>
      </c>
      <c r="D319" s="37" t="s">
        <v>1082</v>
      </c>
      <c r="E319" s="37" t="s">
        <v>1083</v>
      </c>
      <c r="F319" s="38" t="s">
        <v>1084</v>
      </c>
    </row>
    <row r="320" spans="2:6" ht="114" x14ac:dyDescent="0.2">
      <c r="B320" s="149"/>
      <c r="C320" s="37" t="s">
        <v>292</v>
      </c>
      <c r="D320" s="37" t="s">
        <v>1085</v>
      </c>
      <c r="E320" s="37" t="s">
        <v>1086</v>
      </c>
      <c r="F320" s="38" t="s">
        <v>1087</v>
      </c>
    </row>
    <row r="321" spans="2:6" x14ac:dyDescent="0.2">
      <c r="B321" s="45"/>
      <c r="C321" s="37"/>
      <c r="D321" s="37"/>
      <c r="E321" s="37"/>
      <c r="F321" s="38"/>
    </row>
    <row r="322" spans="2:6" ht="128.25" x14ac:dyDescent="0.2">
      <c r="B322" s="149" t="s">
        <v>97</v>
      </c>
      <c r="C322" s="37" t="s">
        <v>288</v>
      </c>
      <c r="D322" s="37" t="s">
        <v>1088</v>
      </c>
      <c r="E322" s="37" t="s">
        <v>1089</v>
      </c>
      <c r="F322" s="38" t="s">
        <v>1090</v>
      </c>
    </row>
    <row r="323" spans="2:6" ht="99.75" x14ac:dyDescent="0.2">
      <c r="B323" s="149"/>
      <c r="C323" s="37" t="s">
        <v>289</v>
      </c>
      <c r="D323" s="37" t="s">
        <v>1091</v>
      </c>
      <c r="E323" s="37" t="s">
        <v>1092</v>
      </c>
      <c r="F323" s="38" t="s">
        <v>1093</v>
      </c>
    </row>
    <row r="324" spans="2:6" ht="99.75" x14ac:dyDescent="0.2">
      <c r="B324" s="149"/>
      <c r="C324" s="37" t="s">
        <v>290</v>
      </c>
      <c r="D324" s="37" t="s">
        <v>1094</v>
      </c>
      <c r="E324" s="37" t="s">
        <v>1095</v>
      </c>
      <c r="F324" s="38" t="s">
        <v>1096</v>
      </c>
    </row>
    <row r="325" spans="2:6" ht="85.5" x14ac:dyDescent="0.2">
      <c r="B325" s="149"/>
      <c r="C325" s="37" t="s">
        <v>291</v>
      </c>
      <c r="D325" s="37" t="s">
        <v>1097</v>
      </c>
      <c r="E325" s="37" t="s">
        <v>1098</v>
      </c>
      <c r="F325" s="38" t="s">
        <v>1099</v>
      </c>
    </row>
    <row r="326" spans="2:6" ht="114" x14ac:dyDescent="0.2">
      <c r="B326" s="149"/>
      <c r="C326" s="37" t="s">
        <v>292</v>
      </c>
      <c r="D326" s="37" t="s">
        <v>1085</v>
      </c>
      <c r="E326" s="37" t="s">
        <v>1100</v>
      </c>
      <c r="F326" s="38" t="s">
        <v>1101</v>
      </c>
    </row>
    <row r="327" spans="2:6" x14ac:dyDescent="0.2">
      <c r="B327" s="45"/>
      <c r="C327" s="37"/>
      <c r="D327" s="37"/>
      <c r="E327" s="37"/>
      <c r="F327" s="38"/>
    </row>
    <row r="328" spans="2:6" ht="114" x14ac:dyDescent="0.2">
      <c r="B328" s="149" t="s">
        <v>98</v>
      </c>
      <c r="C328" s="37" t="s">
        <v>293</v>
      </c>
      <c r="D328" s="37" t="s">
        <v>1102</v>
      </c>
      <c r="E328" s="37" t="s">
        <v>1103</v>
      </c>
      <c r="F328" s="38" t="s">
        <v>1104</v>
      </c>
    </row>
    <row r="329" spans="2:6" ht="114" x14ac:dyDescent="0.2">
      <c r="B329" s="149"/>
      <c r="C329" s="37" t="s">
        <v>294</v>
      </c>
      <c r="D329" s="37" t="s">
        <v>1105</v>
      </c>
      <c r="E329" s="37" t="s">
        <v>1106</v>
      </c>
      <c r="F329" s="38" t="s">
        <v>1107</v>
      </c>
    </row>
    <row r="330" spans="2:6" ht="99.75" x14ac:dyDescent="0.2">
      <c r="B330" s="149"/>
      <c r="C330" s="37" t="s">
        <v>295</v>
      </c>
      <c r="D330" s="37" t="s">
        <v>1108</v>
      </c>
      <c r="E330" s="37" t="s">
        <v>1109</v>
      </c>
      <c r="F330" s="38" t="s">
        <v>1110</v>
      </c>
    </row>
    <row r="331" spans="2:6" ht="99.75" x14ac:dyDescent="0.2">
      <c r="B331" s="149"/>
      <c r="C331" s="37" t="s">
        <v>296</v>
      </c>
      <c r="D331" s="37" t="s">
        <v>1111</v>
      </c>
      <c r="E331" s="37" t="s">
        <v>1112</v>
      </c>
      <c r="F331" s="38" t="s">
        <v>1113</v>
      </c>
    </row>
    <row r="332" spans="2:6" ht="114.75" thickBot="1" x14ac:dyDescent="0.25">
      <c r="B332" s="151"/>
      <c r="C332" s="39" t="s">
        <v>297</v>
      </c>
      <c r="D332" s="39" t="s">
        <v>1114</v>
      </c>
      <c r="E332" s="39" t="s">
        <v>1115</v>
      </c>
      <c r="F332" s="40" t="s">
        <v>1116</v>
      </c>
    </row>
  </sheetData>
  <mergeCells count="51">
    <mergeCell ref="B304:B308"/>
    <mergeCell ref="B316:B320"/>
    <mergeCell ref="B322:B326"/>
    <mergeCell ref="B328:B332"/>
    <mergeCell ref="B298:B302"/>
    <mergeCell ref="B268:B272"/>
    <mergeCell ref="B274:B278"/>
    <mergeCell ref="B280:B284"/>
    <mergeCell ref="B286:B290"/>
    <mergeCell ref="B232:B236"/>
    <mergeCell ref="B238:B242"/>
    <mergeCell ref="B244:B248"/>
    <mergeCell ref="B250:B254"/>
    <mergeCell ref="B256:B260"/>
    <mergeCell ref="B292:B296"/>
    <mergeCell ref="B142:B146"/>
    <mergeCell ref="B148:B152"/>
    <mergeCell ref="B226:B230"/>
    <mergeCell ref="B160:B164"/>
    <mergeCell ref="B166:B170"/>
    <mergeCell ref="B172:B176"/>
    <mergeCell ref="B178:B182"/>
    <mergeCell ref="B184:B188"/>
    <mergeCell ref="B190:B194"/>
    <mergeCell ref="B196:B200"/>
    <mergeCell ref="B202:B206"/>
    <mergeCell ref="B208:B212"/>
    <mergeCell ref="B214:B218"/>
    <mergeCell ref="B220:B224"/>
    <mergeCell ref="B262:B266"/>
    <mergeCell ref="B112:B116"/>
    <mergeCell ref="B118:B122"/>
    <mergeCell ref="B124:B128"/>
    <mergeCell ref="B130:B134"/>
    <mergeCell ref="B136:B140"/>
    <mergeCell ref="B55:B58"/>
    <mergeCell ref="B88:B93"/>
    <mergeCell ref="B309:B314"/>
    <mergeCell ref="B23:B29"/>
    <mergeCell ref="B31:B37"/>
    <mergeCell ref="B39:B41"/>
    <mergeCell ref="B43:B47"/>
    <mergeCell ref="B49:B53"/>
    <mergeCell ref="B60:B64"/>
    <mergeCell ref="B66:B69"/>
    <mergeCell ref="B72:B76"/>
    <mergeCell ref="B78:B82"/>
    <mergeCell ref="B154:B158"/>
    <mergeCell ref="B95:B98"/>
    <mergeCell ref="B100:B104"/>
    <mergeCell ref="B106:B110"/>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0"/>
  <sheetViews>
    <sheetView view="pageBreakPreview" zoomScale="85" zoomScaleNormal="85" zoomScaleSheetLayoutView="85" workbookViewId="0">
      <selection activeCell="D3" sqref="D3"/>
    </sheetView>
  </sheetViews>
  <sheetFormatPr defaultRowHeight="15" x14ac:dyDescent="0.25"/>
  <cols>
    <col min="2" max="2" width="8.7109375" style="53"/>
    <col min="3" max="3" width="43.5703125" bestFit="1" customWidth="1"/>
    <col min="4" max="4" width="19" customWidth="1"/>
    <col min="5" max="5" width="9" customWidth="1"/>
    <col min="7" max="7" width="12.7109375" customWidth="1"/>
  </cols>
  <sheetData>
    <row r="1" spans="1:7" ht="15.75" thickBot="1" x14ac:dyDescent="0.3"/>
    <row r="2" spans="1:7" ht="15.75" thickBot="1" x14ac:dyDescent="0.3">
      <c r="B2" s="6" t="s">
        <v>30</v>
      </c>
      <c r="C2" s="7" t="s">
        <v>31</v>
      </c>
      <c r="D2" s="7" t="s">
        <v>1146</v>
      </c>
      <c r="E2" s="7" t="s">
        <v>1147</v>
      </c>
      <c r="F2" s="7" t="s">
        <v>32</v>
      </c>
      <c r="G2" s="7" t="s">
        <v>33</v>
      </c>
    </row>
    <row r="3" spans="1:7" s="89" customFormat="1" ht="15.75" thickBot="1" x14ac:dyDescent="0.3">
      <c r="A3"/>
      <c r="B3" s="85">
        <v>1</v>
      </c>
      <c r="C3" s="86" t="s">
        <v>34</v>
      </c>
      <c r="D3" s="86"/>
      <c r="E3" s="87">
        <v>1</v>
      </c>
      <c r="F3" s="87">
        <v>2</v>
      </c>
      <c r="G3" s="88"/>
    </row>
    <row r="4" spans="1:7" s="89" customFormat="1" ht="15.75" thickBot="1" x14ac:dyDescent="0.3">
      <c r="A4"/>
      <c r="B4" s="85">
        <v>2</v>
      </c>
      <c r="C4" s="86" t="s">
        <v>35</v>
      </c>
      <c r="D4" s="86"/>
      <c r="E4" s="87">
        <v>1</v>
      </c>
      <c r="F4" s="87">
        <v>2</v>
      </c>
      <c r="G4" s="88"/>
    </row>
    <row r="5" spans="1:7" s="94" customFormat="1" ht="15.75" thickBot="1" x14ac:dyDescent="0.3">
      <c r="A5"/>
      <c r="B5" s="90">
        <v>3</v>
      </c>
      <c r="C5" s="91" t="s">
        <v>1134</v>
      </c>
      <c r="D5" s="91"/>
      <c r="E5" s="92">
        <v>2</v>
      </c>
      <c r="F5" s="92">
        <v>2</v>
      </c>
      <c r="G5" s="93"/>
    </row>
    <row r="6" spans="1:7" s="89" customFormat="1" ht="15.75" thickBot="1" x14ac:dyDescent="0.3">
      <c r="A6"/>
      <c r="B6" s="85">
        <v>4</v>
      </c>
      <c r="C6" s="86" t="s">
        <v>37</v>
      </c>
      <c r="D6" s="86"/>
      <c r="E6" s="87">
        <v>1</v>
      </c>
      <c r="F6" s="87">
        <v>2</v>
      </c>
      <c r="G6" s="88"/>
    </row>
    <row r="7" spans="1:7" s="94" customFormat="1" ht="15.75" thickBot="1" x14ac:dyDescent="0.3">
      <c r="A7"/>
      <c r="B7" s="90">
        <v>5</v>
      </c>
      <c r="C7" s="91" t="s">
        <v>38</v>
      </c>
      <c r="D7" s="91"/>
      <c r="E7" s="92">
        <v>2</v>
      </c>
      <c r="F7" s="92">
        <v>2</v>
      </c>
      <c r="G7" s="93"/>
    </row>
    <row r="8" spans="1:7" s="89" customFormat="1" ht="15.75" thickBot="1" x14ac:dyDescent="0.3">
      <c r="A8"/>
      <c r="B8" s="85">
        <v>6</v>
      </c>
      <c r="C8" s="86" t="s">
        <v>39</v>
      </c>
      <c r="D8" s="86"/>
      <c r="E8" s="87">
        <v>1</v>
      </c>
      <c r="F8" s="87">
        <v>2</v>
      </c>
      <c r="G8" s="88"/>
    </row>
    <row r="9" spans="1:7" s="89" customFormat="1" ht="15.75" thickBot="1" x14ac:dyDescent="0.3">
      <c r="A9"/>
      <c r="B9" s="85">
        <v>7</v>
      </c>
      <c r="C9" s="86" t="s">
        <v>1180</v>
      </c>
      <c r="D9" s="86"/>
      <c r="E9" s="87">
        <v>1</v>
      </c>
      <c r="F9" s="87">
        <v>2</v>
      </c>
      <c r="G9" s="88"/>
    </row>
    <row r="10" spans="1:7" s="94" customFormat="1" ht="15.75" thickBot="1" x14ac:dyDescent="0.3">
      <c r="A10"/>
      <c r="B10" s="90">
        <v>8</v>
      </c>
      <c r="C10" s="91" t="s">
        <v>40</v>
      </c>
      <c r="D10" s="91"/>
      <c r="E10" s="92">
        <v>2</v>
      </c>
      <c r="F10" s="92">
        <v>2</v>
      </c>
      <c r="G10" s="93"/>
    </row>
    <row r="11" spans="1:7" s="97" customFormat="1" ht="15.75" thickBot="1" x14ac:dyDescent="0.3">
      <c r="A11"/>
      <c r="B11" s="95">
        <v>9</v>
      </c>
      <c r="C11" s="77" t="s">
        <v>41</v>
      </c>
      <c r="D11" s="77"/>
      <c r="E11" s="78">
        <v>3</v>
      </c>
      <c r="F11" s="78">
        <v>2</v>
      </c>
      <c r="G11" s="96"/>
    </row>
    <row r="12" spans="1:7" s="102" customFormat="1" ht="15.75" thickBot="1" x14ac:dyDescent="0.3">
      <c r="A12"/>
      <c r="B12" s="98">
        <v>10</v>
      </c>
      <c r="C12" s="99" t="s">
        <v>42</v>
      </c>
      <c r="D12" s="99"/>
      <c r="E12" s="100">
        <v>4</v>
      </c>
      <c r="F12" s="100">
        <v>2</v>
      </c>
      <c r="G12" s="101"/>
    </row>
    <row r="13" spans="1:7" ht="15.75" thickBot="1" x14ac:dyDescent="0.3">
      <c r="B13" s="54">
        <v>11</v>
      </c>
      <c r="C13" s="12" t="s">
        <v>45</v>
      </c>
      <c r="D13" s="12"/>
      <c r="E13" s="10" t="s">
        <v>1326</v>
      </c>
      <c r="F13" s="10">
        <v>0</v>
      </c>
      <c r="G13" s="11"/>
    </row>
    <row r="14" spans="1:7" s="84" customFormat="1" ht="15.75" thickBot="1" x14ac:dyDescent="0.3">
      <c r="A14"/>
      <c r="B14" s="80">
        <v>12</v>
      </c>
      <c r="C14" s="81" t="s">
        <v>46</v>
      </c>
      <c r="D14" s="81"/>
      <c r="E14" s="82">
        <v>7</v>
      </c>
      <c r="F14" s="82">
        <v>4</v>
      </c>
      <c r="G14" s="83"/>
    </row>
    <row r="15" spans="1:7" s="84" customFormat="1" ht="15.75" thickBot="1" x14ac:dyDescent="0.3">
      <c r="A15"/>
      <c r="B15" s="80">
        <v>13</v>
      </c>
      <c r="C15" s="81" t="s">
        <v>1292</v>
      </c>
      <c r="D15" s="81"/>
      <c r="E15" s="82">
        <v>7</v>
      </c>
      <c r="F15" s="82">
        <v>2</v>
      </c>
      <c r="G15" s="83"/>
    </row>
    <row r="16" spans="1:7" s="114" customFormat="1" ht="15.75" thickBot="1" x14ac:dyDescent="0.3">
      <c r="A16"/>
      <c r="B16" s="110">
        <v>14</v>
      </c>
      <c r="C16" s="111" t="s">
        <v>48</v>
      </c>
      <c r="D16" s="111"/>
      <c r="E16" s="112">
        <v>8</v>
      </c>
      <c r="F16" s="112">
        <v>6</v>
      </c>
      <c r="G16" s="113"/>
    </row>
    <row r="17" spans="1:7" s="84" customFormat="1" ht="15.75" thickBot="1" x14ac:dyDescent="0.3">
      <c r="A17"/>
      <c r="B17" s="80">
        <v>15</v>
      </c>
      <c r="C17" s="108" t="s">
        <v>100</v>
      </c>
      <c r="D17" s="108"/>
      <c r="E17" s="109">
        <v>7</v>
      </c>
      <c r="F17" s="82">
        <v>4</v>
      </c>
      <c r="G17" s="83"/>
    </row>
    <row r="18" spans="1:7" s="89" customFormat="1" ht="15.75" thickBot="1" x14ac:dyDescent="0.3">
      <c r="A18"/>
      <c r="B18" s="85">
        <v>16</v>
      </c>
      <c r="C18" s="86" t="s">
        <v>49</v>
      </c>
      <c r="D18" s="86"/>
      <c r="E18" s="87">
        <v>1</v>
      </c>
      <c r="F18" s="87">
        <v>3</v>
      </c>
      <c r="G18" s="87">
        <v>3</v>
      </c>
    </row>
    <row r="19" spans="1:7" s="89" customFormat="1" ht="15.75" thickBot="1" x14ac:dyDescent="0.3">
      <c r="A19"/>
      <c r="B19" s="85">
        <v>17</v>
      </c>
      <c r="C19" s="86" t="s">
        <v>50</v>
      </c>
      <c r="D19" s="86"/>
      <c r="E19" s="87">
        <v>1</v>
      </c>
      <c r="F19" s="87">
        <v>3</v>
      </c>
      <c r="G19" s="87">
        <v>3</v>
      </c>
    </row>
    <row r="20" spans="1:7" s="94" customFormat="1" ht="15.75" thickBot="1" x14ac:dyDescent="0.3">
      <c r="A20"/>
      <c r="B20" s="90">
        <v>18</v>
      </c>
      <c r="C20" s="91" t="s">
        <v>54</v>
      </c>
      <c r="D20" s="91"/>
      <c r="E20" s="92">
        <v>2</v>
      </c>
      <c r="F20" s="92">
        <v>3</v>
      </c>
      <c r="G20" s="92">
        <v>3</v>
      </c>
    </row>
    <row r="21" spans="1:7" s="94" customFormat="1" ht="15.75" thickBot="1" x14ac:dyDescent="0.3">
      <c r="A21"/>
      <c r="B21" s="90">
        <v>19</v>
      </c>
      <c r="C21" s="91" t="s">
        <v>53</v>
      </c>
      <c r="D21" s="91"/>
      <c r="E21" s="92">
        <v>2</v>
      </c>
      <c r="F21" s="92">
        <v>3</v>
      </c>
      <c r="G21" s="92">
        <v>3</v>
      </c>
    </row>
    <row r="22" spans="1:7" s="94" customFormat="1" ht="15.75" thickBot="1" x14ac:dyDescent="0.3">
      <c r="A22"/>
      <c r="B22" s="90">
        <v>20</v>
      </c>
      <c r="C22" s="91" t="s">
        <v>1209</v>
      </c>
      <c r="D22" s="91"/>
      <c r="E22" s="92">
        <v>2</v>
      </c>
      <c r="F22" s="92">
        <v>2</v>
      </c>
      <c r="G22" s="92">
        <v>2</v>
      </c>
    </row>
    <row r="23" spans="1:7" s="97" customFormat="1" ht="15.75" thickBot="1" x14ac:dyDescent="0.3">
      <c r="A23"/>
      <c r="B23" s="95">
        <v>21</v>
      </c>
      <c r="C23" s="77" t="s">
        <v>57</v>
      </c>
      <c r="D23" s="77"/>
      <c r="E23" s="78">
        <v>3</v>
      </c>
      <c r="F23" s="78">
        <v>3</v>
      </c>
      <c r="G23" s="78">
        <v>3</v>
      </c>
    </row>
    <row r="24" spans="1:7" s="97" customFormat="1" ht="15.75" thickBot="1" x14ac:dyDescent="0.3">
      <c r="A24"/>
      <c r="B24" s="95">
        <v>22</v>
      </c>
      <c r="C24" s="77" t="s">
        <v>58</v>
      </c>
      <c r="D24" s="77"/>
      <c r="E24" s="78">
        <v>3</v>
      </c>
      <c r="F24" s="78">
        <v>2</v>
      </c>
      <c r="G24" s="78">
        <v>2</v>
      </c>
    </row>
    <row r="25" spans="1:7" s="97" customFormat="1" ht="15.75" thickBot="1" x14ac:dyDescent="0.3">
      <c r="A25"/>
      <c r="B25" s="95">
        <v>23</v>
      </c>
      <c r="C25" s="77" t="s">
        <v>1298</v>
      </c>
      <c r="D25" s="77"/>
      <c r="E25" s="78">
        <v>3</v>
      </c>
      <c r="F25" s="78">
        <v>2</v>
      </c>
      <c r="G25" s="78">
        <v>2</v>
      </c>
    </row>
    <row r="26" spans="1:7" s="102" customFormat="1" ht="15.75" thickBot="1" x14ac:dyDescent="0.3">
      <c r="A26"/>
      <c r="B26" s="98">
        <v>24</v>
      </c>
      <c r="C26" s="99" t="s">
        <v>59</v>
      </c>
      <c r="D26" s="99"/>
      <c r="E26" s="100">
        <v>4</v>
      </c>
      <c r="F26" s="100">
        <v>3</v>
      </c>
      <c r="G26" s="100">
        <v>3</v>
      </c>
    </row>
    <row r="27" spans="1:7" s="102" customFormat="1" ht="15.75" thickBot="1" x14ac:dyDescent="0.3">
      <c r="A27"/>
      <c r="B27" s="98">
        <v>25</v>
      </c>
      <c r="C27" s="99" t="s">
        <v>1299</v>
      </c>
      <c r="D27" s="99"/>
      <c r="E27" s="100">
        <v>4</v>
      </c>
      <c r="F27" s="100">
        <v>2</v>
      </c>
      <c r="G27" s="100">
        <v>2</v>
      </c>
    </row>
    <row r="28" spans="1:7" s="102" customFormat="1" ht="15.75" thickBot="1" x14ac:dyDescent="0.3">
      <c r="A28"/>
      <c r="B28" s="98">
        <v>26</v>
      </c>
      <c r="C28" s="99" t="s">
        <v>55</v>
      </c>
      <c r="D28" s="99"/>
      <c r="E28" s="100">
        <v>4</v>
      </c>
      <c r="F28" s="100">
        <v>2</v>
      </c>
      <c r="G28" s="100">
        <v>2</v>
      </c>
    </row>
    <row r="29" spans="1:7" s="102" customFormat="1" ht="15.75" thickBot="1" x14ac:dyDescent="0.3">
      <c r="A29"/>
      <c r="B29" s="98">
        <v>27</v>
      </c>
      <c r="C29" s="99" t="s">
        <v>90</v>
      </c>
      <c r="D29" s="99"/>
      <c r="E29" s="100">
        <v>4</v>
      </c>
      <c r="F29" s="100">
        <v>2</v>
      </c>
      <c r="G29" s="100">
        <v>2</v>
      </c>
    </row>
    <row r="30" spans="1:7" s="94" customFormat="1" ht="15.75" thickBot="1" x14ac:dyDescent="0.3">
      <c r="A30"/>
      <c r="B30" s="90">
        <v>29</v>
      </c>
      <c r="C30" s="91" t="s">
        <v>61</v>
      </c>
      <c r="D30" s="91"/>
      <c r="E30" s="92">
        <v>2</v>
      </c>
      <c r="F30" s="92">
        <v>2</v>
      </c>
      <c r="G30" s="93"/>
    </row>
    <row r="31" spans="1:7" s="89" customFormat="1" ht="15.75" thickBot="1" x14ac:dyDescent="0.3">
      <c r="A31"/>
      <c r="B31" s="85">
        <v>30</v>
      </c>
      <c r="C31" s="86" t="s">
        <v>1300</v>
      </c>
      <c r="D31" s="86"/>
      <c r="E31" s="87">
        <v>1</v>
      </c>
      <c r="F31" s="87">
        <v>2</v>
      </c>
      <c r="G31" s="88"/>
    </row>
    <row r="32" spans="1:7" s="89" customFormat="1" ht="15.75" thickBot="1" x14ac:dyDescent="0.3">
      <c r="A32"/>
      <c r="B32" s="85">
        <v>31</v>
      </c>
      <c r="C32" s="86" t="s">
        <v>94</v>
      </c>
      <c r="D32" s="86"/>
      <c r="E32" s="87">
        <v>1</v>
      </c>
      <c r="F32" s="87">
        <v>2</v>
      </c>
      <c r="G32" s="88"/>
    </row>
    <row r="33" spans="1:7" s="94" customFormat="1" ht="15.75" thickBot="1" x14ac:dyDescent="0.3">
      <c r="A33"/>
      <c r="B33" s="90">
        <v>32</v>
      </c>
      <c r="C33" s="91" t="s">
        <v>1301</v>
      </c>
      <c r="D33" s="91"/>
      <c r="E33" s="92">
        <v>2</v>
      </c>
      <c r="F33" s="92">
        <v>2</v>
      </c>
      <c r="G33" s="93"/>
    </row>
    <row r="34" spans="1:7" s="94" customFormat="1" ht="15.75" thickBot="1" x14ac:dyDescent="0.3">
      <c r="A34"/>
      <c r="B34" s="90">
        <v>33</v>
      </c>
      <c r="C34" s="91" t="s">
        <v>60</v>
      </c>
      <c r="D34" s="91"/>
      <c r="E34" s="92">
        <v>2</v>
      </c>
      <c r="F34" s="92">
        <v>2</v>
      </c>
      <c r="G34" s="93"/>
    </row>
    <row r="35" spans="1:7" s="97" customFormat="1" ht="15.75" thickBot="1" x14ac:dyDescent="0.3">
      <c r="A35"/>
      <c r="B35" s="95">
        <v>35</v>
      </c>
      <c r="C35" s="77" t="s">
        <v>65</v>
      </c>
      <c r="D35" s="77"/>
      <c r="E35" s="78">
        <v>3</v>
      </c>
      <c r="F35" s="78">
        <v>2</v>
      </c>
      <c r="G35" s="96"/>
    </row>
    <row r="36" spans="1:7" s="97" customFormat="1" ht="15.75" thickBot="1" x14ac:dyDescent="0.3">
      <c r="A36"/>
      <c r="B36" s="95">
        <v>36</v>
      </c>
      <c r="C36" s="77" t="s">
        <v>68</v>
      </c>
      <c r="D36" s="77"/>
      <c r="E36" s="78">
        <v>3</v>
      </c>
      <c r="F36" s="78">
        <v>2</v>
      </c>
      <c r="G36" s="96"/>
    </row>
    <row r="37" spans="1:7" s="97" customFormat="1" ht="15.75" thickBot="1" x14ac:dyDescent="0.3">
      <c r="A37"/>
      <c r="B37" s="95">
        <v>37</v>
      </c>
      <c r="C37" s="77" t="s">
        <v>1302</v>
      </c>
      <c r="D37" s="77"/>
      <c r="E37" s="78">
        <v>3</v>
      </c>
      <c r="F37" s="78">
        <v>2</v>
      </c>
      <c r="G37" s="96"/>
    </row>
    <row r="38" spans="1:7" s="102" customFormat="1" ht="15.75" thickBot="1" x14ac:dyDescent="0.3">
      <c r="A38"/>
      <c r="B38" s="98">
        <v>38</v>
      </c>
      <c r="C38" s="99" t="s">
        <v>1303</v>
      </c>
      <c r="D38" s="99"/>
      <c r="E38" s="100">
        <v>4</v>
      </c>
      <c r="F38" s="100">
        <v>2</v>
      </c>
      <c r="G38" s="101"/>
    </row>
    <row r="39" spans="1:7" s="102" customFormat="1" ht="15.75" thickBot="1" x14ac:dyDescent="0.3">
      <c r="A39"/>
      <c r="B39" s="98">
        <v>39</v>
      </c>
      <c r="C39" s="99" t="s">
        <v>82</v>
      </c>
      <c r="D39" s="99"/>
      <c r="E39" s="100">
        <v>4</v>
      </c>
      <c r="F39" s="100">
        <v>3</v>
      </c>
      <c r="G39" s="101"/>
    </row>
    <row r="40" spans="1:7" s="102" customFormat="1" ht="15.75" thickBot="1" x14ac:dyDescent="0.3">
      <c r="A40"/>
      <c r="B40" s="98">
        <v>40</v>
      </c>
      <c r="C40" s="99" t="s">
        <v>1304</v>
      </c>
      <c r="D40" s="99"/>
      <c r="E40" s="100">
        <v>4</v>
      </c>
      <c r="F40" s="100">
        <v>2</v>
      </c>
      <c r="G40" s="101"/>
    </row>
    <row r="41" spans="1:7" s="107" customFormat="1" ht="15.75" thickBot="1" x14ac:dyDescent="0.3">
      <c r="A41"/>
      <c r="B41" s="103">
        <v>41</v>
      </c>
      <c r="C41" s="104" t="s">
        <v>91</v>
      </c>
      <c r="D41" s="104"/>
      <c r="E41" s="105">
        <v>5</v>
      </c>
      <c r="F41" s="105">
        <v>2</v>
      </c>
      <c r="G41" s="106"/>
    </row>
    <row r="42" spans="1:7" s="107" customFormat="1" ht="15.75" thickBot="1" x14ac:dyDescent="0.3">
      <c r="A42"/>
      <c r="B42" s="103">
        <v>42</v>
      </c>
      <c r="C42" s="104" t="s">
        <v>76</v>
      </c>
      <c r="D42" s="104"/>
      <c r="E42" s="105">
        <v>5</v>
      </c>
      <c r="F42" s="105">
        <v>2</v>
      </c>
      <c r="G42" s="106"/>
    </row>
    <row r="43" spans="1:7" s="124" customFormat="1" ht="15.75" thickBot="1" x14ac:dyDescent="0.3">
      <c r="A43"/>
      <c r="B43" s="120">
        <v>43</v>
      </c>
      <c r="C43" s="121" t="s">
        <v>83</v>
      </c>
      <c r="D43" s="121"/>
      <c r="E43" s="122">
        <v>5</v>
      </c>
      <c r="F43" s="122">
        <v>2</v>
      </c>
      <c r="G43" s="123"/>
    </row>
    <row r="44" spans="1:7" s="124" customFormat="1" ht="15.75" thickBot="1" x14ac:dyDescent="0.3">
      <c r="A44"/>
      <c r="B44" s="120">
        <v>44</v>
      </c>
      <c r="C44" s="121" t="s">
        <v>1305</v>
      </c>
      <c r="D44" s="121"/>
      <c r="E44" s="122">
        <v>5</v>
      </c>
      <c r="F44" s="122">
        <v>2</v>
      </c>
      <c r="G44" s="123"/>
    </row>
    <row r="45" spans="1:7" s="129" customFormat="1" ht="15.75" thickBot="1" x14ac:dyDescent="0.3">
      <c r="A45"/>
      <c r="B45" s="125">
        <v>45</v>
      </c>
      <c r="C45" s="126" t="s">
        <v>1306</v>
      </c>
      <c r="D45" s="126"/>
      <c r="E45" s="127">
        <v>6</v>
      </c>
      <c r="F45" s="127">
        <v>2</v>
      </c>
      <c r="G45" s="128"/>
    </row>
    <row r="46" spans="1:7" s="129" customFormat="1" ht="15.75" thickBot="1" x14ac:dyDescent="0.3">
      <c r="A46"/>
      <c r="B46" s="125">
        <v>46</v>
      </c>
      <c r="C46" s="126" t="s">
        <v>79</v>
      </c>
      <c r="D46" s="126"/>
      <c r="E46" s="127">
        <v>6</v>
      </c>
      <c r="F46" s="127">
        <v>2</v>
      </c>
      <c r="G46" s="128"/>
    </row>
    <row r="47" spans="1:7" s="97" customFormat="1" ht="15.75" thickBot="1" x14ac:dyDescent="0.3">
      <c r="A47"/>
      <c r="B47" s="95">
        <v>47</v>
      </c>
      <c r="C47" s="77" t="s">
        <v>1307</v>
      </c>
      <c r="D47" s="77"/>
      <c r="E47" s="78">
        <v>3</v>
      </c>
      <c r="F47" s="78">
        <v>2</v>
      </c>
      <c r="G47" s="96"/>
    </row>
    <row r="48" spans="1:7" s="102" customFormat="1" ht="15.75" thickBot="1" x14ac:dyDescent="0.3">
      <c r="A48"/>
      <c r="B48" s="98">
        <v>48</v>
      </c>
      <c r="C48" s="99" t="s">
        <v>96</v>
      </c>
      <c r="D48" s="99"/>
      <c r="E48" s="100">
        <v>4</v>
      </c>
      <c r="F48" s="100">
        <v>2</v>
      </c>
      <c r="G48" s="101"/>
    </row>
    <row r="49" spans="1:7" s="107" customFormat="1" ht="15.75" thickBot="1" x14ac:dyDescent="0.3">
      <c r="A49"/>
      <c r="B49" s="103">
        <v>49</v>
      </c>
      <c r="C49" s="104" t="s">
        <v>1308</v>
      </c>
      <c r="D49" s="104"/>
      <c r="E49" s="105">
        <v>5</v>
      </c>
      <c r="F49" s="105">
        <v>2</v>
      </c>
      <c r="G49" s="106"/>
    </row>
    <row r="50" spans="1:7" s="107" customFormat="1" ht="15.75" thickBot="1" x14ac:dyDescent="0.3">
      <c r="A50"/>
      <c r="B50" s="103">
        <v>50</v>
      </c>
      <c r="C50" s="104" t="s">
        <v>1309</v>
      </c>
      <c r="D50" s="104"/>
      <c r="E50" s="105">
        <v>5</v>
      </c>
      <c r="F50" s="105">
        <v>2</v>
      </c>
      <c r="G50" s="106"/>
    </row>
    <row r="51" spans="1:7" s="107" customFormat="1" ht="15.75" thickBot="1" x14ac:dyDescent="0.3">
      <c r="A51"/>
      <c r="B51" s="103">
        <v>51</v>
      </c>
      <c r="C51" s="104" t="s">
        <v>1310</v>
      </c>
      <c r="D51" s="104"/>
      <c r="E51" s="105">
        <v>5</v>
      </c>
      <c r="F51" s="105">
        <v>2</v>
      </c>
      <c r="G51" s="106"/>
    </row>
    <row r="52" spans="1:7" s="107" customFormat="1" ht="15.75" thickBot="1" x14ac:dyDescent="0.3">
      <c r="A52"/>
      <c r="B52" s="103">
        <v>52</v>
      </c>
      <c r="C52" s="104" t="s">
        <v>1311</v>
      </c>
      <c r="D52" s="104"/>
      <c r="E52" s="105">
        <v>5</v>
      </c>
      <c r="F52" s="105">
        <v>2</v>
      </c>
      <c r="G52" s="106"/>
    </row>
    <row r="53" spans="1:7" s="124" customFormat="1" ht="15.75" thickBot="1" x14ac:dyDescent="0.3">
      <c r="A53"/>
      <c r="B53" s="120">
        <v>53</v>
      </c>
      <c r="C53" s="121" t="s">
        <v>1312</v>
      </c>
      <c r="D53" s="121"/>
      <c r="E53" s="122">
        <v>5</v>
      </c>
      <c r="F53" s="122">
        <v>2</v>
      </c>
      <c r="G53" s="123"/>
    </row>
    <row r="54" spans="1:7" s="107" customFormat="1" ht="15.75" thickBot="1" x14ac:dyDescent="0.3">
      <c r="A54"/>
      <c r="B54" s="103">
        <v>54</v>
      </c>
      <c r="C54" s="104" t="s">
        <v>1313</v>
      </c>
      <c r="D54" s="104"/>
      <c r="E54" s="105">
        <v>5</v>
      </c>
      <c r="F54" s="105">
        <v>2</v>
      </c>
      <c r="G54" s="106"/>
    </row>
    <row r="55" spans="1:7" s="124" customFormat="1" ht="15.75" thickBot="1" x14ac:dyDescent="0.3">
      <c r="A55"/>
      <c r="B55" s="120">
        <v>55</v>
      </c>
      <c r="C55" s="121" t="s">
        <v>1314</v>
      </c>
      <c r="D55" s="121"/>
      <c r="E55" s="122">
        <v>5</v>
      </c>
      <c r="F55" s="122">
        <v>2</v>
      </c>
      <c r="G55" s="123"/>
    </row>
    <row r="56" spans="1:7" s="129" customFormat="1" ht="15.75" thickBot="1" x14ac:dyDescent="0.3">
      <c r="A56"/>
      <c r="B56" s="125">
        <v>56</v>
      </c>
      <c r="C56" s="126" t="s">
        <v>1315</v>
      </c>
      <c r="D56" s="126"/>
      <c r="E56" s="127">
        <v>6</v>
      </c>
      <c r="F56" s="127">
        <v>2</v>
      </c>
      <c r="G56" s="128"/>
    </row>
    <row r="57" spans="1:7" s="129" customFormat="1" ht="15.75" thickBot="1" x14ac:dyDescent="0.3">
      <c r="A57"/>
      <c r="B57" s="125">
        <v>57</v>
      </c>
      <c r="C57" s="126" t="s">
        <v>1316</v>
      </c>
      <c r="D57" s="126"/>
      <c r="E57" s="127">
        <v>6</v>
      </c>
      <c r="F57" s="127">
        <v>2</v>
      </c>
      <c r="G57" s="128"/>
    </row>
    <row r="58" spans="1:7" s="129" customFormat="1" ht="15.75" thickBot="1" x14ac:dyDescent="0.3">
      <c r="A58"/>
      <c r="B58" s="125">
        <v>58</v>
      </c>
      <c r="C58" s="126" t="s">
        <v>1317</v>
      </c>
      <c r="D58" s="126"/>
      <c r="E58" s="127">
        <v>6</v>
      </c>
      <c r="F58" s="127">
        <v>2</v>
      </c>
      <c r="G58" s="128"/>
    </row>
    <row r="59" spans="1:7" s="129" customFormat="1" ht="15.75" thickBot="1" x14ac:dyDescent="0.3">
      <c r="A59"/>
      <c r="B59" s="125">
        <v>59</v>
      </c>
      <c r="C59" s="126" t="s">
        <v>1318</v>
      </c>
      <c r="D59" s="126"/>
      <c r="E59" s="127">
        <v>6</v>
      </c>
      <c r="F59" s="127">
        <v>2</v>
      </c>
      <c r="G59" s="128"/>
    </row>
    <row r="60" spans="1:7" s="129" customFormat="1" ht="15.75" thickBot="1" x14ac:dyDescent="0.3">
      <c r="A60"/>
      <c r="B60" s="125">
        <v>60</v>
      </c>
      <c r="C60" s="126" t="s">
        <v>1319</v>
      </c>
      <c r="D60" s="126"/>
      <c r="E60" s="127">
        <v>6</v>
      </c>
      <c r="F60" s="127">
        <v>2</v>
      </c>
      <c r="G60" s="130"/>
    </row>
    <row r="61" spans="1:7" s="129" customFormat="1" ht="15.75" thickBot="1" x14ac:dyDescent="0.3">
      <c r="A61"/>
      <c r="B61" s="125">
        <v>61</v>
      </c>
      <c r="C61" s="126" t="s">
        <v>1320</v>
      </c>
      <c r="D61" s="126"/>
      <c r="E61" s="127">
        <v>6</v>
      </c>
      <c r="F61" s="127">
        <v>2</v>
      </c>
      <c r="G61" s="128"/>
    </row>
    <row r="62" spans="1:7" s="129" customFormat="1" ht="15.75" thickBot="1" x14ac:dyDescent="0.3">
      <c r="A62"/>
      <c r="B62" s="125">
        <v>62</v>
      </c>
      <c r="C62" s="126" t="s">
        <v>1321</v>
      </c>
      <c r="D62" s="126"/>
      <c r="E62" s="127">
        <v>6</v>
      </c>
      <c r="F62" s="127">
        <v>2</v>
      </c>
      <c r="G62" s="128"/>
    </row>
    <row r="63" spans="1:7" s="129" customFormat="1" ht="15.75" thickBot="1" x14ac:dyDescent="0.3">
      <c r="A63"/>
      <c r="B63" s="125">
        <v>63</v>
      </c>
      <c r="C63" s="126" t="s">
        <v>97</v>
      </c>
      <c r="D63" s="126"/>
      <c r="E63" s="127">
        <v>6</v>
      </c>
      <c r="F63" s="127">
        <v>2</v>
      </c>
      <c r="G63" s="128"/>
    </row>
    <row r="64" spans="1:7" s="97" customFormat="1" ht="15.75" thickBot="1" x14ac:dyDescent="0.3">
      <c r="A64"/>
      <c r="B64" s="95">
        <v>64</v>
      </c>
      <c r="C64" s="77" t="s">
        <v>1322</v>
      </c>
      <c r="D64" s="77"/>
      <c r="E64" s="78">
        <v>3</v>
      </c>
      <c r="F64" s="78">
        <v>2</v>
      </c>
      <c r="G64" s="96"/>
    </row>
    <row r="65" spans="1:7" s="97" customFormat="1" ht="15.75" thickBot="1" x14ac:dyDescent="0.3">
      <c r="A65"/>
      <c r="B65" s="95">
        <v>65</v>
      </c>
      <c r="C65" s="77" t="s">
        <v>1323</v>
      </c>
      <c r="D65" s="77"/>
      <c r="E65" s="78">
        <v>3</v>
      </c>
      <c r="F65" s="78">
        <v>2</v>
      </c>
      <c r="G65" s="96"/>
    </row>
    <row r="66" spans="1:7" s="97" customFormat="1" ht="15.75" thickBot="1" x14ac:dyDescent="0.3">
      <c r="A66"/>
      <c r="B66" s="95">
        <v>66</v>
      </c>
      <c r="C66" s="77" t="s">
        <v>1324</v>
      </c>
      <c r="D66" s="77"/>
      <c r="E66" s="78">
        <v>3</v>
      </c>
      <c r="F66" s="78">
        <v>2</v>
      </c>
      <c r="G66" s="96"/>
    </row>
    <row r="67" spans="1:7" s="119" customFormat="1" ht="15.75" thickBot="1" x14ac:dyDescent="0.3">
      <c r="A67"/>
      <c r="B67" s="115">
        <v>67</v>
      </c>
      <c r="C67" s="116" t="s">
        <v>1325</v>
      </c>
      <c r="D67" s="116"/>
      <c r="E67" s="117">
        <v>4</v>
      </c>
      <c r="F67" s="117">
        <v>2</v>
      </c>
      <c r="G67" s="118"/>
    </row>
    <row r="68" spans="1:7" s="102" customFormat="1" ht="15.75" thickBot="1" x14ac:dyDescent="0.3">
      <c r="A68"/>
      <c r="B68" s="103">
        <v>67</v>
      </c>
      <c r="C68" s="104" t="s">
        <v>1327</v>
      </c>
      <c r="D68" s="104"/>
      <c r="E68" s="105">
        <v>5</v>
      </c>
      <c r="F68" s="105">
        <v>2</v>
      </c>
      <c r="G68" s="106"/>
    </row>
    <row r="69" spans="1:7" ht="15.75" thickBot="1" x14ac:dyDescent="0.3">
      <c r="B69" s="54"/>
      <c r="C69" s="131"/>
      <c r="G69" s="11"/>
    </row>
    <row r="70" spans="1:7" ht="15.75" thickBot="1" x14ac:dyDescent="0.3">
      <c r="B70" s="147" t="s">
        <v>99</v>
      </c>
      <c r="C70" s="148"/>
      <c r="D70" s="51"/>
      <c r="E70" s="51"/>
      <c r="F70" s="15">
        <f>SUM(F3:F68)</f>
        <v>145</v>
      </c>
      <c r="G70" s="15">
        <f>SUM(G3:G69)</f>
        <v>30</v>
      </c>
    </row>
  </sheetData>
  <mergeCells count="1">
    <mergeCell ref="B70:C70"/>
  </mergeCells>
  <pageMargins left="0.7" right="0.7" top="0.75" bottom="0.75" header="0.3" footer="0.3"/>
  <pageSetup paperSize="9" scale="6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4"/>
  <sheetViews>
    <sheetView zoomScale="84" zoomScaleNormal="84" zoomScaleSheetLayoutView="70" workbookViewId="0">
      <selection activeCell="A17" sqref="A17"/>
    </sheetView>
  </sheetViews>
  <sheetFormatPr defaultColWidth="8.7109375" defaultRowHeight="15.75" x14ac:dyDescent="0.25"/>
  <cols>
    <col min="1" max="1" width="18.140625" style="50" customWidth="1"/>
    <col min="2" max="2" width="16.85546875" style="50" customWidth="1"/>
    <col min="3" max="3" width="5.5703125" style="50" customWidth="1"/>
    <col min="4" max="4" width="20.42578125" style="50" customWidth="1"/>
    <col min="5" max="5" width="19.7109375" style="50" customWidth="1"/>
    <col min="6" max="6" width="5.5703125" style="50" customWidth="1"/>
    <col min="7" max="7" width="16.5703125" style="50" customWidth="1"/>
    <col min="8" max="8" width="22" style="50" customWidth="1"/>
    <col min="9" max="9" width="5.5703125" style="50" customWidth="1"/>
    <col min="10" max="10" width="15.28515625" style="50" customWidth="1"/>
    <col min="11" max="11" width="24.5703125" style="50" customWidth="1"/>
    <col min="12" max="12" width="7.7109375" style="50" customWidth="1"/>
    <col min="13" max="13" width="15.5703125" style="50" customWidth="1"/>
    <col min="14" max="14" width="19.5703125" style="50" customWidth="1"/>
    <col min="15" max="15" width="5.5703125" style="50" customWidth="1"/>
    <col min="16" max="16" width="16.5703125" style="50" customWidth="1"/>
    <col min="17" max="17" width="21.28515625" style="50" customWidth="1"/>
    <col min="18" max="18" width="5.5703125" style="50" customWidth="1"/>
    <col min="19" max="20" width="18.7109375" style="50" customWidth="1"/>
    <col min="21" max="21" width="5.5703125" style="50" customWidth="1"/>
    <col min="22" max="22" width="15.42578125" style="50" customWidth="1"/>
    <col min="23" max="23" width="17.85546875" style="50" customWidth="1"/>
    <col min="24" max="24" width="5.5703125" style="50" customWidth="1"/>
    <col min="25" max="16384" width="8.7109375" style="50"/>
  </cols>
  <sheetData>
    <row r="1" spans="1:24" ht="34.5" customHeight="1" x14ac:dyDescent="0.25"/>
    <row r="2" spans="1:24" s="49" customFormat="1" ht="30" customHeight="1" x14ac:dyDescent="0.25">
      <c r="B2" s="52" t="s">
        <v>1138</v>
      </c>
      <c r="C2" s="52"/>
      <c r="E2" s="52" t="s">
        <v>1139</v>
      </c>
      <c r="F2" s="52"/>
      <c r="H2" s="52" t="s">
        <v>1140</v>
      </c>
      <c r="I2" s="52"/>
      <c r="K2" s="52" t="s">
        <v>1141</v>
      </c>
      <c r="L2" s="52"/>
      <c r="N2" s="52" t="s">
        <v>1142</v>
      </c>
      <c r="O2" s="52"/>
      <c r="Q2" s="52" t="s">
        <v>1143</v>
      </c>
      <c r="R2" s="52"/>
      <c r="T2" s="52" t="s">
        <v>1144</v>
      </c>
      <c r="U2" s="52"/>
      <c r="W2" s="52" t="s">
        <v>1145</v>
      </c>
      <c r="X2" s="52"/>
    </row>
    <row r="3" spans="1:24" ht="55.5" customHeight="1" x14ac:dyDescent="0.25">
      <c r="A3" s="50" t="s">
        <v>1245</v>
      </c>
      <c r="B3" s="61" t="s">
        <v>1164</v>
      </c>
      <c r="C3" s="73">
        <v>2</v>
      </c>
      <c r="D3" s="50" t="s">
        <v>1248</v>
      </c>
      <c r="E3" s="61" t="s">
        <v>1168</v>
      </c>
      <c r="F3" s="73">
        <v>2</v>
      </c>
      <c r="G3" s="50" t="s">
        <v>1252</v>
      </c>
      <c r="H3" s="61" t="s">
        <v>1169</v>
      </c>
      <c r="I3" s="73">
        <v>2</v>
      </c>
      <c r="J3" s="50" t="s">
        <v>1253</v>
      </c>
      <c r="K3" s="61" t="s">
        <v>1170</v>
      </c>
      <c r="L3" s="73">
        <v>2</v>
      </c>
      <c r="M3" s="50" t="s">
        <v>1263</v>
      </c>
      <c r="N3" s="63" t="s">
        <v>1182</v>
      </c>
      <c r="O3" s="79">
        <v>2</v>
      </c>
      <c r="P3" s="50" t="s">
        <v>1275</v>
      </c>
      <c r="Q3" s="63" t="s">
        <v>1183</v>
      </c>
      <c r="R3" s="79">
        <v>2</v>
      </c>
      <c r="S3" s="50" t="s">
        <v>1291</v>
      </c>
      <c r="T3" s="63" t="s">
        <v>1214</v>
      </c>
      <c r="U3" s="74">
        <v>4</v>
      </c>
      <c r="V3" s="50" t="s">
        <v>1294</v>
      </c>
      <c r="W3" s="62" t="s">
        <v>1215</v>
      </c>
      <c r="X3" s="74">
        <v>6</v>
      </c>
    </row>
    <row r="4" spans="1:24" x14ac:dyDescent="0.25">
      <c r="T4" s="152"/>
      <c r="U4" s="152"/>
      <c r="W4" s="152"/>
      <c r="X4" s="152"/>
    </row>
    <row r="5" spans="1:24" ht="45.75" customHeight="1" x14ac:dyDescent="0.25">
      <c r="A5" s="50" t="s">
        <v>1246</v>
      </c>
      <c r="B5" s="61" t="s">
        <v>1177</v>
      </c>
      <c r="C5" s="73">
        <v>2</v>
      </c>
      <c r="D5" s="50" t="s">
        <v>1231</v>
      </c>
      <c r="E5" s="60" t="s">
        <v>1151</v>
      </c>
      <c r="F5" s="79">
        <v>2</v>
      </c>
      <c r="G5" s="50" t="s">
        <v>1237</v>
      </c>
      <c r="H5" s="60" t="s">
        <v>1152</v>
      </c>
      <c r="I5" s="79">
        <v>2</v>
      </c>
      <c r="J5" s="50" t="s">
        <v>1254</v>
      </c>
      <c r="K5" s="58" t="s">
        <v>1188</v>
      </c>
      <c r="L5" s="79">
        <v>3</v>
      </c>
      <c r="M5" s="50" t="s">
        <v>1264</v>
      </c>
      <c r="N5" s="60" t="s">
        <v>1137</v>
      </c>
      <c r="O5" s="79">
        <v>2</v>
      </c>
      <c r="P5" s="50" t="s">
        <v>1276</v>
      </c>
      <c r="Q5" s="63" t="s">
        <v>1200</v>
      </c>
      <c r="R5" s="79">
        <v>2</v>
      </c>
      <c r="S5" s="50" t="s">
        <v>1286</v>
      </c>
      <c r="T5" s="63" t="s">
        <v>1190</v>
      </c>
      <c r="U5" s="79">
        <v>4</v>
      </c>
      <c r="V5" s="50" t="s">
        <v>1429</v>
      </c>
      <c r="W5" s="63" t="s">
        <v>1214</v>
      </c>
      <c r="X5" s="74">
        <v>4</v>
      </c>
    </row>
    <row r="6" spans="1:24" x14ac:dyDescent="0.25">
      <c r="T6" s="152"/>
      <c r="U6" s="152"/>
    </row>
    <row r="7" spans="1:24" ht="39.950000000000003" customHeight="1" x14ac:dyDescent="0.25">
      <c r="A7" s="50" t="s">
        <v>1226</v>
      </c>
      <c r="B7" s="58" t="s">
        <v>1185</v>
      </c>
      <c r="C7" s="79">
        <v>3</v>
      </c>
      <c r="D7" s="50" t="s">
        <v>1232</v>
      </c>
      <c r="E7" s="58" t="s">
        <v>1186</v>
      </c>
      <c r="F7" s="79">
        <v>3</v>
      </c>
      <c r="G7" s="50" t="s">
        <v>1289</v>
      </c>
      <c r="H7" s="58" t="s">
        <v>1187</v>
      </c>
      <c r="I7" s="79">
        <v>3</v>
      </c>
      <c r="J7" s="50" t="s">
        <v>1255</v>
      </c>
      <c r="K7" s="58" t="s">
        <v>1208</v>
      </c>
      <c r="L7" s="79">
        <v>2</v>
      </c>
      <c r="M7" s="50" t="s">
        <v>1265</v>
      </c>
      <c r="N7" s="60" t="s">
        <v>1136</v>
      </c>
      <c r="O7" s="79">
        <v>2</v>
      </c>
      <c r="P7" s="50" t="s">
        <v>1277</v>
      </c>
      <c r="Q7" s="63" t="s">
        <v>1189</v>
      </c>
      <c r="R7" s="79">
        <v>2</v>
      </c>
      <c r="S7" s="50" t="s">
        <v>1293</v>
      </c>
      <c r="T7" s="62" t="s">
        <v>1292</v>
      </c>
      <c r="U7" s="74">
        <v>2</v>
      </c>
      <c r="V7" s="50" t="s">
        <v>1430</v>
      </c>
      <c r="W7" s="63" t="s">
        <v>1190</v>
      </c>
      <c r="X7" s="79">
        <v>4</v>
      </c>
    </row>
    <row r="9" spans="1:24" ht="49.5" customHeight="1" x14ac:dyDescent="0.25">
      <c r="A9" s="50" t="s">
        <v>1247</v>
      </c>
      <c r="B9" s="61" t="s">
        <v>1165</v>
      </c>
      <c r="C9" s="73">
        <v>2</v>
      </c>
      <c r="D9" s="50" t="s">
        <v>1233</v>
      </c>
      <c r="E9" s="58" t="s">
        <v>1191</v>
      </c>
      <c r="F9" s="79">
        <v>3</v>
      </c>
      <c r="G9" s="50" t="s">
        <v>1287</v>
      </c>
      <c r="H9" s="61" t="s">
        <v>1175</v>
      </c>
      <c r="I9" s="74">
        <v>2</v>
      </c>
      <c r="J9" s="50" t="s">
        <v>1256</v>
      </c>
      <c r="K9" s="61" t="s">
        <v>1171</v>
      </c>
      <c r="L9" s="79">
        <v>2</v>
      </c>
      <c r="M9" s="50" t="s">
        <v>1266</v>
      </c>
      <c r="N9" s="63" t="s">
        <v>1201</v>
      </c>
      <c r="O9" s="79">
        <v>2</v>
      </c>
      <c r="P9" s="50" t="s">
        <v>1278</v>
      </c>
      <c r="Q9" s="63" t="s">
        <v>1194</v>
      </c>
      <c r="R9" s="79">
        <v>2</v>
      </c>
      <c r="S9" s="50" t="s">
        <v>1428</v>
      </c>
      <c r="T9" s="62" t="s">
        <v>1215</v>
      </c>
      <c r="U9" s="74">
        <v>6</v>
      </c>
      <c r="V9" s="50" t="s">
        <v>1431</v>
      </c>
      <c r="W9" s="62" t="s">
        <v>1292</v>
      </c>
      <c r="X9" s="74">
        <v>2</v>
      </c>
    </row>
    <row r="10" spans="1:24" x14ac:dyDescent="0.25">
      <c r="T10" s="152"/>
      <c r="U10" s="152"/>
      <c r="X10" s="64"/>
    </row>
    <row r="11" spans="1:24" ht="52.5" customHeight="1" x14ac:dyDescent="0.25">
      <c r="A11" s="50" t="s">
        <v>1436</v>
      </c>
      <c r="B11" s="61" t="s">
        <v>1166</v>
      </c>
      <c r="C11" s="73">
        <v>2</v>
      </c>
      <c r="D11" s="50" t="s">
        <v>1234</v>
      </c>
      <c r="E11" s="60" t="s">
        <v>1155</v>
      </c>
      <c r="F11" s="79">
        <v>2</v>
      </c>
      <c r="G11" s="50" t="s">
        <v>1238</v>
      </c>
      <c r="H11" s="60" t="s">
        <v>1156</v>
      </c>
      <c r="I11" s="79">
        <v>2</v>
      </c>
      <c r="J11" s="50" t="s">
        <v>1257</v>
      </c>
      <c r="K11" s="60" t="s">
        <v>1162</v>
      </c>
      <c r="L11" s="79">
        <v>2</v>
      </c>
      <c r="M11" s="50" t="s">
        <v>1267</v>
      </c>
      <c r="N11" s="63" t="s">
        <v>1196</v>
      </c>
      <c r="O11" s="79">
        <v>2</v>
      </c>
      <c r="P11" s="50" t="s">
        <v>1279</v>
      </c>
      <c r="Q11" s="60" t="s">
        <v>1197</v>
      </c>
      <c r="R11" s="79">
        <v>2</v>
      </c>
      <c r="X11" s="152"/>
    </row>
    <row r="12" spans="1:24" x14ac:dyDescent="0.25">
      <c r="X12" s="152"/>
    </row>
    <row r="13" spans="1:24" ht="52.5" customHeight="1" x14ac:dyDescent="0.25">
      <c r="A13" s="50" t="s">
        <v>1227</v>
      </c>
      <c r="B13" s="60" t="s">
        <v>1178</v>
      </c>
      <c r="C13" s="79">
        <v>2</v>
      </c>
      <c r="D13" s="50" t="s">
        <v>1249</v>
      </c>
      <c r="E13" s="61" t="s">
        <v>1167</v>
      </c>
      <c r="F13" s="73">
        <v>2</v>
      </c>
      <c r="G13" s="50" t="s">
        <v>1288</v>
      </c>
      <c r="H13" s="61" t="s">
        <v>1176</v>
      </c>
      <c r="I13" s="74">
        <v>2</v>
      </c>
      <c r="J13" s="50" t="s">
        <v>1258</v>
      </c>
      <c r="K13" s="58" t="s">
        <v>1219</v>
      </c>
      <c r="L13" s="79">
        <v>2</v>
      </c>
      <c r="M13" s="50" t="s">
        <v>1268</v>
      </c>
      <c r="N13" s="63" t="s">
        <v>1198</v>
      </c>
      <c r="O13" s="79">
        <v>2</v>
      </c>
      <c r="P13" s="50" t="s">
        <v>1280</v>
      </c>
      <c r="Q13" s="60" t="s">
        <v>1158</v>
      </c>
      <c r="R13" s="79">
        <v>2</v>
      </c>
      <c r="X13" s="152"/>
    </row>
    <row r="14" spans="1:24" x14ac:dyDescent="0.25">
      <c r="X14" s="152"/>
    </row>
    <row r="15" spans="1:24" ht="56.25" customHeight="1" x14ac:dyDescent="0.25">
      <c r="A15" s="50" t="s">
        <v>1228</v>
      </c>
      <c r="B15" s="58" t="s">
        <v>1199</v>
      </c>
      <c r="C15" s="79">
        <v>3</v>
      </c>
      <c r="D15" s="50" t="s">
        <v>1235</v>
      </c>
      <c r="E15" s="61" t="s">
        <v>1438</v>
      </c>
      <c r="F15" s="79">
        <v>2</v>
      </c>
      <c r="G15" s="50" t="s">
        <v>1239</v>
      </c>
      <c r="H15" s="58" t="s">
        <v>1195</v>
      </c>
      <c r="I15" s="79">
        <v>2</v>
      </c>
      <c r="J15" s="50" t="s">
        <v>1259</v>
      </c>
      <c r="K15" s="60" t="s">
        <v>1154</v>
      </c>
      <c r="L15" s="79">
        <v>3</v>
      </c>
      <c r="M15" s="50" t="s">
        <v>1269</v>
      </c>
      <c r="N15" s="63" t="s">
        <v>1184</v>
      </c>
      <c r="O15" s="79">
        <v>2</v>
      </c>
      <c r="P15" s="50" t="s">
        <v>1282</v>
      </c>
      <c r="Q15" s="63" t="s">
        <v>1193</v>
      </c>
      <c r="R15" s="79">
        <v>2</v>
      </c>
      <c r="X15" s="152"/>
    </row>
    <row r="16" spans="1:24" x14ac:dyDescent="0.25">
      <c r="X16" s="152"/>
    </row>
    <row r="17" spans="1:25" ht="51" customHeight="1" x14ac:dyDescent="0.25">
      <c r="A17" s="50" t="s">
        <v>1437</v>
      </c>
      <c r="B17" s="61" t="s">
        <v>1180</v>
      </c>
      <c r="C17" s="73">
        <v>2</v>
      </c>
      <c r="D17" s="50" t="s">
        <v>1236</v>
      </c>
      <c r="E17" s="60" t="s">
        <v>1161</v>
      </c>
      <c r="F17" s="79">
        <v>2</v>
      </c>
      <c r="G17" s="50" t="s">
        <v>1240</v>
      </c>
      <c r="H17" s="58" t="s">
        <v>1202</v>
      </c>
      <c r="I17" s="79">
        <v>2</v>
      </c>
      <c r="J17" s="50" t="s">
        <v>1442</v>
      </c>
      <c r="K17" s="58" t="s">
        <v>1207</v>
      </c>
      <c r="L17" s="79">
        <v>2</v>
      </c>
      <c r="M17" s="50" t="s">
        <v>1270</v>
      </c>
      <c r="N17" s="63" t="s">
        <v>1203</v>
      </c>
      <c r="O17" s="79">
        <v>2</v>
      </c>
      <c r="P17" s="50" t="s">
        <v>1283</v>
      </c>
      <c r="Q17" s="63" t="s">
        <v>1204</v>
      </c>
      <c r="R17" s="79">
        <v>2</v>
      </c>
      <c r="X17" s="152"/>
    </row>
    <row r="18" spans="1:25" x14ac:dyDescent="0.25">
      <c r="X18" s="152"/>
    </row>
    <row r="19" spans="1:25" ht="49.5" customHeight="1" x14ac:dyDescent="0.25">
      <c r="A19" s="50" t="s">
        <v>1229</v>
      </c>
      <c r="B19" s="60" t="s">
        <v>1160</v>
      </c>
      <c r="C19" s="79">
        <v>2</v>
      </c>
      <c r="D19" s="50" t="s">
        <v>1250</v>
      </c>
      <c r="E19" s="58" t="s">
        <v>1179</v>
      </c>
      <c r="F19" s="79">
        <v>2</v>
      </c>
      <c r="G19" s="50" t="s">
        <v>1241</v>
      </c>
      <c r="H19" s="60" t="s">
        <v>1157</v>
      </c>
      <c r="I19" s="79">
        <v>2</v>
      </c>
      <c r="J19" s="50" t="s">
        <v>1260</v>
      </c>
      <c r="K19" s="60" t="s">
        <v>1153</v>
      </c>
      <c r="L19" s="79">
        <v>2</v>
      </c>
      <c r="M19" s="50" t="s">
        <v>1271</v>
      </c>
      <c r="N19" s="60" t="s">
        <v>1163</v>
      </c>
      <c r="O19" s="79">
        <v>2</v>
      </c>
      <c r="P19" s="50" t="s">
        <v>1281</v>
      </c>
      <c r="Q19" s="63" t="s">
        <v>1205</v>
      </c>
      <c r="R19" s="79">
        <v>2</v>
      </c>
    </row>
    <row r="21" spans="1:25" ht="48.95" customHeight="1" x14ac:dyDescent="0.25">
      <c r="A21" s="50" t="s">
        <v>1230</v>
      </c>
      <c r="B21" s="50" t="s">
        <v>1220</v>
      </c>
      <c r="C21" s="79">
        <v>0</v>
      </c>
      <c r="D21" s="50" t="s">
        <v>1251</v>
      </c>
      <c r="E21" s="50" t="s">
        <v>1221</v>
      </c>
      <c r="F21" s="79">
        <v>0</v>
      </c>
      <c r="G21" s="50" t="s">
        <v>1242</v>
      </c>
      <c r="H21" s="63" t="s">
        <v>1192</v>
      </c>
      <c r="I21" s="79">
        <v>2</v>
      </c>
      <c r="J21" s="50" t="s">
        <v>1261</v>
      </c>
      <c r="K21" s="63" t="s">
        <v>1181</v>
      </c>
      <c r="L21" s="79">
        <v>2</v>
      </c>
      <c r="M21" s="50" t="s">
        <v>1272</v>
      </c>
      <c r="N21" s="63" t="s">
        <v>1172</v>
      </c>
      <c r="O21" s="79">
        <v>2</v>
      </c>
      <c r="P21" s="50" t="s">
        <v>1284</v>
      </c>
      <c r="Q21" s="63" t="s">
        <v>1206</v>
      </c>
      <c r="R21" s="79">
        <v>2</v>
      </c>
    </row>
    <row r="22" spans="1:25" ht="17.100000000000001" customHeight="1" x14ac:dyDescent="0.25">
      <c r="C22" s="64"/>
    </row>
    <row r="23" spans="1:25" ht="48.75" customHeight="1" x14ac:dyDescent="0.25">
      <c r="G23" s="50" t="s">
        <v>1243</v>
      </c>
      <c r="H23" s="61" t="s">
        <v>1173</v>
      </c>
      <c r="I23" s="79">
        <v>2</v>
      </c>
      <c r="J23" s="50" t="s">
        <v>1297</v>
      </c>
      <c r="K23" s="62" t="s">
        <v>1135</v>
      </c>
      <c r="L23" s="73">
        <v>0</v>
      </c>
      <c r="M23" s="50" t="s">
        <v>1290</v>
      </c>
      <c r="N23" s="61" t="s">
        <v>1174</v>
      </c>
      <c r="O23" s="74">
        <v>2</v>
      </c>
      <c r="P23" s="50" t="s">
        <v>1285</v>
      </c>
      <c r="Q23" s="50" t="s">
        <v>1225</v>
      </c>
      <c r="R23" s="79">
        <v>0</v>
      </c>
    </row>
    <row r="25" spans="1:25" ht="40.5" customHeight="1" x14ac:dyDescent="0.25">
      <c r="G25" s="50" t="s">
        <v>1244</v>
      </c>
      <c r="H25" s="50" t="s">
        <v>1222</v>
      </c>
      <c r="I25" s="79">
        <v>0</v>
      </c>
      <c r="J25" s="50" t="s">
        <v>1262</v>
      </c>
      <c r="K25" s="50" t="s">
        <v>1223</v>
      </c>
      <c r="L25" s="79">
        <v>0</v>
      </c>
      <c r="M25" s="50" t="s">
        <v>1273</v>
      </c>
      <c r="N25" s="60" t="s">
        <v>1159</v>
      </c>
      <c r="O25" s="79">
        <v>2</v>
      </c>
    </row>
    <row r="27" spans="1:25" ht="40.5" customHeight="1" x14ac:dyDescent="0.25">
      <c r="J27" s="50" t="s">
        <v>1295</v>
      </c>
      <c r="K27" s="50" t="s">
        <v>1296</v>
      </c>
      <c r="L27" s="74">
        <v>0</v>
      </c>
      <c r="M27" s="50" t="s">
        <v>1416</v>
      </c>
      <c r="N27" s="62" t="s">
        <v>1135</v>
      </c>
      <c r="O27" s="73">
        <v>0</v>
      </c>
    </row>
    <row r="29" spans="1:25" ht="35.25" customHeight="1" x14ac:dyDescent="0.25">
      <c r="M29" s="50" t="s">
        <v>1274</v>
      </c>
      <c r="N29" s="50" t="s">
        <v>1224</v>
      </c>
      <c r="O29" s="79">
        <v>0</v>
      </c>
    </row>
    <row r="30" spans="1:25" x14ac:dyDescent="0.25">
      <c r="B30" s="57" t="s">
        <v>1149</v>
      </c>
      <c r="L30" s="64"/>
      <c r="R30" s="64"/>
    </row>
    <row r="31" spans="1:25" x14ac:dyDescent="0.25">
      <c r="B31" s="55" t="s">
        <v>1148</v>
      </c>
      <c r="C31" s="50">
        <f>COUNT(C2:C21)</f>
        <v>10</v>
      </c>
      <c r="E31" s="55" t="s">
        <v>1148</v>
      </c>
      <c r="F31" s="50">
        <f>COUNT(F2:F21)</f>
        <v>10</v>
      </c>
      <c r="H31" s="55" t="s">
        <v>1148</v>
      </c>
      <c r="I31" s="50">
        <f>COUNT(I2:I26)</f>
        <v>12</v>
      </c>
      <c r="K31" s="55" t="s">
        <v>1148</v>
      </c>
      <c r="L31" s="50">
        <f>COUNT(L3:L27)</f>
        <v>13</v>
      </c>
      <c r="N31" s="55" t="s">
        <v>1148</v>
      </c>
      <c r="O31" s="50">
        <f>COUNT(O2:O29)</f>
        <v>14</v>
      </c>
      <c r="Q31" s="55" t="s">
        <v>1148</v>
      </c>
      <c r="R31" s="50">
        <f>COUNT(R2:R24)</f>
        <v>11</v>
      </c>
      <c r="T31" s="55" t="s">
        <v>1148</v>
      </c>
      <c r="U31" s="50">
        <f>COUNT(U2:U18)</f>
        <v>4</v>
      </c>
      <c r="W31" s="55" t="s">
        <v>1148</v>
      </c>
      <c r="X31" s="50">
        <f>COUNT(X2:X18)</f>
        <v>4</v>
      </c>
    </row>
    <row r="32" spans="1:25" x14ac:dyDescent="0.25">
      <c r="B32" s="55" t="s">
        <v>99</v>
      </c>
      <c r="C32" s="50">
        <f>SUM(C3:C20)</f>
        <v>20</v>
      </c>
      <c r="D32" s="56" t="s">
        <v>32</v>
      </c>
      <c r="E32" s="55" t="s">
        <v>99</v>
      </c>
      <c r="F32" s="50">
        <f>SUM(F3:F21)</f>
        <v>20</v>
      </c>
      <c r="G32" s="56" t="s">
        <v>32</v>
      </c>
      <c r="H32" s="55" t="s">
        <v>99</v>
      </c>
      <c r="I32" s="50">
        <f>SUM(I3:I26)</f>
        <v>23</v>
      </c>
      <c r="J32" s="56" t="s">
        <v>32</v>
      </c>
      <c r="K32" s="55" t="s">
        <v>99</v>
      </c>
      <c r="L32" s="50">
        <f>SUM(L3:L27)</f>
        <v>22</v>
      </c>
      <c r="M32" s="56" t="s">
        <v>32</v>
      </c>
      <c r="N32" s="55" t="s">
        <v>99</v>
      </c>
      <c r="O32" s="50">
        <f>SUM(O3:O29)</f>
        <v>24</v>
      </c>
      <c r="P32" s="56" t="s">
        <v>32</v>
      </c>
      <c r="Q32" s="55" t="s">
        <v>99</v>
      </c>
      <c r="R32" s="50">
        <f>SUM(R3:R24)</f>
        <v>20</v>
      </c>
      <c r="S32" s="56" t="s">
        <v>32</v>
      </c>
      <c r="T32" s="55" t="s">
        <v>99</v>
      </c>
      <c r="U32" s="50">
        <f>SUM(U3:U18)</f>
        <v>16</v>
      </c>
      <c r="V32" s="56" t="s">
        <v>32</v>
      </c>
      <c r="W32" s="55" t="s">
        <v>99</v>
      </c>
      <c r="X32" s="50">
        <v>0</v>
      </c>
      <c r="Y32" s="56" t="s">
        <v>32</v>
      </c>
    </row>
    <row r="34" spans="2:26" x14ac:dyDescent="0.25">
      <c r="B34" s="67">
        <v>30</v>
      </c>
      <c r="C34" s="58" t="s">
        <v>32</v>
      </c>
      <c r="D34" s="59" t="s">
        <v>1210</v>
      </c>
      <c r="H34" s="66">
        <f>B34/$B$43</f>
        <v>0.20689655172413793</v>
      </c>
      <c r="I34" s="73">
        <v>18</v>
      </c>
      <c r="J34" s="59" t="s">
        <v>1216</v>
      </c>
      <c r="L34" s="65">
        <f>I34/$I$43</f>
        <v>0.12413793103448276</v>
      </c>
    </row>
    <row r="35" spans="2:26" x14ac:dyDescent="0.25">
      <c r="B35" s="55"/>
      <c r="D35" s="59"/>
    </row>
    <row r="36" spans="2:26" x14ac:dyDescent="0.25">
      <c r="B36" s="68">
        <v>35</v>
      </c>
      <c r="C36" s="60" t="s">
        <v>32</v>
      </c>
      <c r="D36" s="59" t="s">
        <v>1211</v>
      </c>
      <c r="H36" s="66">
        <f>B36/$B$43</f>
        <v>0.2413793103448276</v>
      </c>
      <c r="I36" s="74">
        <v>18</v>
      </c>
      <c r="J36" s="59" t="s">
        <v>1217</v>
      </c>
      <c r="L36" s="65">
        <f>I36/$I$43</f>
        <v>0.12413793103448276</v>
      </c>
    </row>
    <row r="37" spans="2:26" x14ac:dyDescent="0.25">
      <c r="B37" s="55"/>
      <c r="D37" s="59"/>
      <c r="J37" s="48"/>
    </row>
    <row r="38" spans="2:26" x14ac:dyDescent="0.25">
      <c r="B38" s="69">
        <v>42</v>
      </c>
      <c r="C38" s="63" t="s">
        <v>32</v>
      </c>
      <c r="D38" s="59" t="s">
        <v>1212</v>
      </c>
      <c r="H38" s="66">
        <f>B38/$B$43</f>
        <v>0.28965517241379313</v>
      </c>
      <c r="I38" s="79">
        <v>109</v>
      </c>
      <c r="J38" s="59" t="s">
        <v>1218</v>
      </c>
      <c r="L38" s="65">
        <f>I38/$I$43</f>
        <v>0.75172413793103443</v>
      </c>
    </row>
    <row r="39" spans="2:26" x14ac:dyDescent="0.25">
      <c r="B39" s="55"/>
      <c r="D39" s="59"/>
    </row>
    <row r="40" spans="2:26" x14ac:dyDescent="0.25">
      <c r="B40" s="70">
        <v>30</v>
      </c>
      <c r="C40" s="61" t="s">
        <v>32</v>
      </c>
      <c r="D40" s="59" t="s">
        <v>1213</v>
      </c>
      <c r="H40" s="66">
        <f>B40/$B$43</f>
        <v>0.20689655172413793</v>
      </c>
    </row>
    <row r="41" spans="2:26" x14ac:dyDescent="0.25">
      <c r="B41" s="55"/>
      <c r="D41" s="59"/>
    </row>
    <row r="42" spans="2:26" x14ac:dyDescent="0.25">
      <c r="B42" s="71">
        <v>8</v>
      </c>
      <c r="C42" s="62" t="s">
        <v>32</v>
      </c>
      <c r="D42" s="59" t="s">
        <v>1150</v>
      </c>
      <c r="H42" s="66">
        <f>B42/$B$43</f>
        <v>5.5172413793103448E-2</v>
      </c>
    </row>
    <row r="43" spans="2:26" x14ac:dyDescent="0.25">
      <c r="B43" s="75">
        <f>SUM(B34:B42)</f>
        <v>145</v>
      </c>
      <c r="C43" s="76"/>
      <c r="D43" s="76"/>
      <c r="E43" s="76"/>
      <c r="F43" s="76"/>
      <c r="G43" s="76"/>
      <c r="H43" s="76"/>
      <c r="I43" s="76">
        <f>SUM(I34:I42)</f>
        <v>145</v>
      </c>
      <c r="L43" s="72"/>
      <c r="Z43" s="50">
        <f>SUM(B32:X32)</f>
        <v>145</v>
      </c>
    </row>
    <row r="44" spans="2:26" x14ac:dyDescent="0.25">
      <c r="H44" s="72"/>
    </row>
  </sheetData>
  <mergeCells count="8">
    <mergeCell ref="X13:X14"/>
    <mergeCell ref="X15:X16"/>
    <mergeCell ref="X17:X18"/>
    <mergeCell ref="W4:X4"/>
    <mergeCell ref="T4:U4"/>
    <mergeCell ref="T6:U6"/>
    <mergeCell ref="T10:U10"/>
    <mergeCell ref="X11:X12"/>
  </mergeCells>
  <pageMargins left="0.7" right="0.7" top="0.75" bottom="0.75" header="0.3" footer="0.3"/>
  <pageSetup paperSize="9" scale="49" orientation="landscape" r:id="rId1"/>
  <colBreaks count="1" manualBreakCount="1">
    <brk id="2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5"/>
  <sheetViews>
    <sheetView workbookViewId="0">
      <selection activeCell="L16" sqref="L16"/>
    </sheetView>
  </sheetViews>
  <sheetFormatPr defaultColWidth="8.7109375" defaultRowHeight="15.75" x14ac:dyDescent="0.25"/>
  <cols>
    <col min="1" max="1" width="8.7109375" style="132"/>
    <col min="2" max="2" width="50.140625" style="132" customWidth="1"/>
    <col min="3" max="3" width="19.5703125" style="132" customWidth="1"/>
    <col min="4" max="4" width="31.140625" style="132" customWidth="1"/>
    <col min="5" max="5" width="12.5703125" style="132" customWidth="1"/>
    <col min="6" max="6" width="20" style="132" customWidth="1"/>
    <col min="7" max="7" width="18.28515625" style="132" customWidth="1"/>
    <col min="8" max="15" width="4.85546875" style="132" customWidth="1"/>
    <col min="16" max="16384" width="8.7109375" style="132"/>
  </cols>
  <sheetData>
    <row r="1" spans="1:17" ht="24.95" customHeight="1" x14ac:dyDescent="0.25">
      <c r="A1" s="134" t="s">
        <v>1334</v>
      </c>
      <c r="B1" s="134" t="s">
        <v>1335</v>
      </c>
      <c r="C1" s="134" t="s">
        <v>1336</v>
      </c>
      <c r="D1" s="134" t="s">
        <v>1337</v>
      </c>
      <c r="E1" s="134" t="s">
        <v>1338</v>
      </c>
      <c r="F1" s="134" t="s">
        <v>1339</v>
      </c>
      <c r="G1" s="134" t="s">
        <v>1340</v>
      </c>
    </row>
    <row r="2" spans="1:17" ht="24.95" customHeight="1" x14ac:dyDescent="0.25">
      <c r="A2" s="135" t="s">
        <v>1341</v>
      </c>
      <c r="B2" s="48"/>
      <c r="C2" s="48"/>
      <c r="D2" s="48"/>
      <c r="E2" s="48"/>
      <c r="F2" s="48"/>
      <c r="G2" s="48"/>
      <c r="Q2" s="132" t="s">
        <v>1441</v>
      </c>
    </row>
    <row r="3" spans="1:17" ht="24.95" customHeight="1" x14ac:dyDescent="0.25">
      <c r="A3" s="59">
        <v>1</v>
      </c>
      <c r="B3" s="59" t="s">
        <v>1395</v>
      </c>
      <c r="C3" s="59">
        <v>925066905</v>
      </c>
      <c r="D3" s="133">
        <v>4957747648230100</v>
      </c>
      <c r="E3" s="59" t="s">
        <v>1328</v>
      </c>
      <c r="F3" s="59" t="s">
        <v>1329</v>
      </c>
      <c r="G3" s="59" t="s">
        <v>1330</v>
      </c>
      <c r="H3" s="132">
        <v>1</v>
      </c>
      <c r="I3" s="132">
        <v>1</v>
      </c>
      <c r="J3" s="132">
        <v>1</v>
      </c>
      <c r="K3" s="132">
        <v>1</v>
      </c>
      <c r="L3" s="132">
        <v>1</v>
      </c>
      <c r="Q3" s="132">
        <f>SUM(H3:P3)</f>
        <v>5</v>
      </c>
    </row>
    <row r="4" spans="1:17" ht="24.95" customHeight="1" x14ac:dyDescent="0.25">
      <c r="A4" s="59">
        <v>2</v>
      </c>
      <c r="B4" s="59" t="s">
        <v>1396</v>
      </c>
      <c r="C4" s="59">
        <v>919067904</v>
      </c>
      <c r="D4" s="133">
        <v>1951757658230110</v>
      </c>
      <c r="E4" s="59" t="s">
        <v>1331</v>
      </c>
      <c r="F4" s="59" t="s">
        <v>1332</v>
      </c>
      <c r="G4" s="59" t="s">
        <v>1330</v>
      </c>
      <c r="H4" s="132">
        <v>1</v>
      </c>
      <c r="I4" s="132">
        <v>1</v>
      </c>
      <c r="J4" s="132">
        <v>1</v>
      </c>
      <c r="K4" s="132">
        <v>1</v>
      </c>
      <c r="L4" s="132">
        <v>1</v>
      </c>
      <c r="M4" s="132">
        <v>1</v>
      </c>
      <c r="N4" s="132">
        <v>1</v>
      </c>
      <c r="Q4" s="132">
        <f t="shared" ref="Q4:Q28" si="0">SUM(H4:P4)</f>
        <v>7</v>
      </c>
    </row>
    <row r="5" spans="1:17" ht="24.95" customHeight="1" x14ac:dyDescent="0.25">
      <c r="A5" s="59">
        <v>3</v>
      </c>
      <c r="B5" s="59" t="s">
        <v>1398</v>
      </c>
      <c r="C5" s="59">
        <v>912087505</v>
      </c>
      <c r="D5" s="133">
        <v>5144753654130130</v>
      </c>
      <c r="E5" s="59" t="s">
        <v>1331</v>
      </c>
      <c r="F5" s="59" t="s">
        <v>1329</v>
      </c>
      <c r="G5" s="59" t="s">
        <v>1330</v>
      </c>
      <c r="H5" s="132">
        <v>1</v>
      </c>
      <c r="I5" s="132">
        <v>1</v>
      </c>
      <c r="J5" s="132">
        <v>1</v>
      </c>
      <c r="K5" s="132">
        <v>1</v>
      </c>
      <c r="L5" s="132">
        <v>1</v>
      </c>
      <c r="Q5" s="132">
        <f t="shared" si="0"/>
        <v>5</v>
      </c>
    </row>
    <row r="6" spans="1:17" ht="24.95" customHeight="1" x14ac:dyDescent="0.25">
      <c r="A6" s="59">
        <v>4</v>
      </c>
      <c r="B6" s="59" t="s">
        <v>1397</v>
      </c>
      <c r="C6" s="59">
        <v>906067401</v>
      </c>
      <c r="D6" s="133">
        <v>937752653230152</v>
      </c>
      <c r="E6" s="59" t="s">
        <v>1331</v>
      </c>
      <c r="F6" s="59" t="s">
        <v>1333</v>
      </c>
      <c r="G6" s="59" t="s">
        <v>1330</v>
      </c>
      <c r="H6" s="132">
        <v>1</v>
      </c>
      <c r="I6" s="132">
        <v>1</v>
      </c>
      <c r="Q6" s="132">
        <f t="shared" si="0"/>
        <v>2</v>
      </c>
    </row>
    <row r="7" spans="1:17" ht="24.95" customHeight="1" x14ac:dyDescent="0.25">
      <c r="A7" s="59">
        <v>5</v>
      </c>
      <c r="B7" s="59" t="s">
        <v>1399</v>
      </c>
      <c r="C7" s="59">
        <v>14017902</v>
      </c>
      <c r="D7" s="133">
        <v>2446757658230120</v>
      </c>
      <c r="E7" s="59" t="s">
        <v>1331</v>
      </c>
      <c r="F7" s="59" t="s">
        <v>1329</v>
      </c>
      <c r="G7" s="59" t="s">
        <v>1330</v>
      </c>
      <c r="H7" s="132">
        <v>1</v>
      </c>
      <c r="I7" s="132">
        <v>1</v>
      </c>
      <c r="J7" s="132">
        <v>1</v>
      </c>
      <c r="K7" s="132">
        <v>1</v>
      </c>
      <c r="L7" s="132">
        <v>1</v>
      </c>
      <c r="M7" s="132">
        <v>1</v>
      </c>
      <c r="N7" s="132">
        <v>1</v>
      </c>
      <c r="Q7" s="132">
        <f t="shared" si="0"/>
        <v>7</v>
      </c>
    </row>
    <row r="8" spans="1:17" ht="24.95" customHeight="1" x14ac:dyDescent="0.25">
      <c r="A8" s="59">
        <v>6</v>
      </c>
      <c r="B8" s="59" t="s">
        <v>1400</v>
      </c>
      <c r="C8" s="59">
        <v>904126802</v>
      </c>
      <c r="D8" s="133">
        <v>7536746647130080</v>
      </c>
      <c r="E8" s="59" t="s">
        <v>1328</v>
      </c>
      <c r="F8" s="59" t="s">
        <v>1329</v>
      </c>
      <c r="G8" s="59" t="s">
        <v>1330</v>
      </c>
      <c r="H8" s="132">
        <v>1</v>
      </c>
      <c r="I8" s="132">
        <v>1</v>
      </c>
      <c r="J8" s="132">
        <v>1</v>
      </c>
      <c r="K8" s="132">
        <v>1</v>
      </c>
      <c r="L8" s="132">
        <v>1</v>
      </c>
      <c r="M8" s="132">
        <v>1</v>
      </c>
      <c r="N8" s="132">
        <v>1</v>
      </c>
      <c r="Q8" s="132">
        <f t="shared" si="0"/>
        <v>7</v>
      </c>
    </row>
    <row r="9" spans="1:17" ht="24.95" customHeight="1" x14ac:dyDescent="0.25">
      <c r="A9" s="59">
        <v>7</v>
      </c>
      <c r="B9" s="59" t="s">
        <v>1401</v>
      </c>
      <c r="C9" s="59"/>
      <c r="D9" s="133">
        <v>6033775676130270</v>
      </c>
      <c r="E9" s="59" t="s">
        <v>1331</v>
      </c>
      <c r="F9" s="59" t="s">
        <v>1329</v>
      </c>
      <c r="G9" s="59" t="s">
        <v>1330</v>
      </c>
      <c r="H9" s="132">
        <v>1</v>
      </c>
      <c r="I9" s="132">
        <v>1</v>
      </c>
      <c r="J9" s="132">
        <v>1</v>
      </c>
      <c r="K9" s="132">
        <v>1</v>
      </c>
      <c r="L9" s="132">
        <v>1</v>
      </c>
      <c r="M9" s="132">
        <v>1</v>
      </c>
      <c r="Q9" s="132">
        <f t="shared" si="0"/>
        <v>6</v>
      </c>
    </row>
    <row r="10" spans="1:17" ht="24.95" customHeight="1" x14ac:dyDescent="0.25">
      <c r="A10" s="59">
        <v>8</v>
      </c>
      <c r="B10" s="59" t="s">
        <v>1402</v>
      </c>
      <c r="C10" s="59">
        <v>914108804</v>
      </c>
      <c r="D10" s="133">
        <v>9346766667230230</v>
      </c>
      <c r="E10" s="59" t="s">
        <v>1331</v>
      </c>
      <c r="F10" s="59" t="s">
        <v>1333</v>
      </c>
      <c r="G10" s="59" t="s">
        <v>1330</v>
      </c>
      <c r="H10" s="132">
        <v>1</v>
      </c>
      <c r="I10" s="132">
        <v>1</v>
      </c>
      <c r="Q10" s="132">
        <f t="shared" si="0"/>
        <v>2</v>
      </c>
    </row>
    <row r="11" spans="1:17" ht="24.95" customHeight="1" x14ac:dyDescent="0.25">
      <c r="A11" s="59">
        <v>9</v>
      </c>
      <c r="B11" s="59" t="s">
        <v>1403</v>
      </c>
      <c r="C11" s="59">
        <v>931126809</v>
      </c>
      <c r="D11" s="133">
        <v>2563746647137010</v>
      </c>
      <c r="E11" s="59" t="s">
        <v>1328</v>
      </c>
      <c r="F11" s="59" t="s">
        <v>1329</v>
      </c>
      <c r="G11" s="59" t="s">
        <v>1330</v>
      </c>
      <c r="H11" s="132">
        <v>1</v>
      </c>
      <c r="I11" s="132">
        <v>1</v>
      </c>
      <c r="J11" s="132">
        <v>1</v>
      </c>
      <c r="K11" s="132">
        <v>1</v>
      </c>
      <c r="L11" s="132">
        <v>1</v>
      </c>
      <c r="M11" s="132">
        <v>1</v>
      </c>
      <c r="N11" s="132">
        <v>1</v>
      </c>
      <c r="Q11" s="132">
        <f t="shared" si="0"/>
        <v>7</v>
      </c>
    </row>
    <row r="12" spans="1:17" ht="24.95" customHeight="1" x14ac:dyDescent="0.25">
      <c r="A12" s="59">
        <v>10</v>
      </c>
      <c r="B12" s="59" t="s">
        <v>1404</v>
      </c>
      <c r="C12" s="59">
        <v>926127601</v>
      </c>
      <c r="D12" s="133">
        <v>9558754655230100</v>
      </c>
      <c r="E12" s="59" t="s">
        <v>1331</v>
      </c>
      <c r="F12" s="59" t="s">
        <v>1329</v>
      </c>
      <c r="G12" s="59" t="s">
        <v>1330</v>
      </c>
      <c r="H12" s="132">
        <v>1</v>
      </c>
      <c r="I12" s="132">
        <v>1</v>
      </c>
      <c r="J12" s="132">
        <v>1</v>
      </c>
      <c r="K12" s="132">
        <v>1</v>
      </c>
      <c r="L12" s="132">
        <v>1</v>
      </c>
      <c r="M12" s="132">
        <v>1</v>
      </c>
      <c r="N12" s="132">
        <v>1</v>
      </c>
      <c r="Q12" s="132">
        <f t="shared" si="0"/>
        <v>7</v>
      </c>
    </row>
    <row r="13" spans="1:17" ht="24.95" customHeight="1" x14ac:dyDescent="0.25">
      <c r="A13" s="59">
        <v>11</v>
      </c>
      <c r="B13" s="59" t="s">
        <v>1405</v>
      </c>
      <c r="C13" s="59">
        <v>910076502</v>
      </c>
      <c r="D13" s="133">
        <v>5042743644130110</v>
      </c>
      <c r="E13" s="59" t="s">
        <v>1331</v>
      </c>
      <c r="F13" s="59" t="s">
        <v>1329</v>
      </c>
      <c r="G13" s="59" t="s">
        <v>1330</v>
      </c>
      <c r="H13" s="132">
        <v>1</v>
      </c>
      <c r="I13" s="132">
        <v>1</v>
      </c>
      <c r="J13" s="132">
        <v>1</v>
      </c>
      <c r="K13" s="132">
        <v>1</v>
      </c>
      <c r="L13" s="132">
        <v>1</v>
      </c>
      <c r="M13" s="132">
        <v>1</v>
      </c>
      <c r="Q13" s="132">
        <f t="shared" si="0"/>
        <v>6</v>
      </c>
    </row>
    <row r="14" spans="1:17" ht="24.95" customHeight="1" x14ac:dyDescent="0.25">
      <c r="A14" s="59">
        <v>12</v>
      </c>
      <c r="B14" s="59" t="s">
        <v>1406</v>
      </c>
      <c r="C14" s="59">
        <v>917126801</v>
      </c>
      <c r="D14" s="133">
        <v>8549746647130070</v>
      </c>
      <c r="E14" s="59" t="s">
        <v>1331</v>
      </c>
      <c r="F14" s="59" t="s">
        <v>1329</v>
      </c>
      <c r="G14" s="59" t="s">
        <v>1330</v>
      </c>
      <c r="H14" s="132">
        <v>1</v>
      </c>
      <c r="I14" s="132">
        <v>1</v>
      </c>
      <c r="J14" s="132">
        <v>1</v>
      </c>
      <c r="K14" s="132">
        <v>1</v>
      </c>
      <c r="L14" s="132">
        <v>1</v>
      </c>
      <c r="Q14" s="132">
        <f t="shared" si="0"/>
        <v>5</v>
      </c>
    </row>
    <row r="15" spans="1:17" ht="24.95" customHeight="1" x14ac:dyDescent="0.25">
      <c r="A15" s="59">
        <v>13</v>
      </c>
      <c r="B15" s="59" t="s">
        <v>1425</v>
      </c>
      <c r="C15" s="59">
        <v>923048801</v>
      </c>
      <c r="D15" s="133">
        <v>7755766667130290</v>
      </c>
      <c r="E15" s="59" t="s">
        <v>1328</v>
      </c>
      <c r="F15" s="59" t="s">
        <v>1329</v>
      </c>
      <c r="G15" s="59" t="s">
        <v>1330</v>
      </c>
      <c r="H15" s="132">
        <v>1</v>
      </c>
      <c r="I15" s="132">
        <v>1</v>
      </c>
      <c r="J15" s="132">
        <v>1</v>
      </c>
      <c r="K15" s="132">
        <v>1</v>
      </c>
      <c r="L15" s="132">
        <v>1</v>
      </c>
      <c r="M15" s="132">
        <v>1</v>
      </c>
      <c r="Q15" s="132">
        <f t="shared" si="0"/>
        <v>6</v>
      </c>
    </row>
    <row r="16" spans="1:17" ht="24.95" customHeight="1" x14ac:dyDescent="0.25">
      <c r="A16" s="59">
        <v>14</v>
      </c>
      <c r="B16" s="59" t="s">
        <v>1407</v>
      </c>
      <c r="C16" s="59">
        <v>930047504</v>
      </c>
      <c r="D16" s="133">
        <v>3762753654130080</v>
      </c>
      <c r="E16" s="59" t="s">
        <v>1331</v>
      </c>
      <c r="F16" s="59" t="s">
        <v>1329</v>
      </c>
      <c r="G16" s="59" t="s">
        <v>1330</v>
      </c>
      <c r="H16" s="132">
        <v>1</v>
      </c>
      <c r="I16" s="132">
        <v>1</v>
      </c>
      <c r="J16" s="132">
        <v>1</v>
      </c>
      <c r="K16" s="132">
        <v>1</v>
      </c>
      <c r="L16" s="132">
        <v>1</v>
      </c>
      <c r="M16" s="132">
        <v>1</v>
      </c>
      <c r="Q16" s="132">
        <f t="shared" si="0"/>
        <v>6</v>
      </c>
    </row>
    <row r="17" spans="1:17" ht="24.95" customHeight="1" x14ac:dyDescent="0.25">
      <c r="A17" s="59">
        <v>15</v>
      </c>
      <c r="B17" s="59" t="s">
        <v>1408</v>
      </c>
      <c r="C17" s="59">
        <v>919046801</v>
      </c>
      <c r="D17" s="133">
        <v>751746647230092</v>
      </c>
      <c r="E17" s="59" t="s">
        <v>1331</v>
      </c>
      <c r="F17" s="59" t="s">
        <v>1329</v>
      </c>
      <c r="G17" s="59" t="s">
        <v>1330</v>
      </c>
      <c r="H17" s="132">
        <v>1</v>
      </c>
      <c r="I17" s="132">
        <v>1</v>
      </c>
      <c r="J17" s="132">
        <v>1</v>
      </c>
      <c r="K17" s="132">
        <v>1</v>
      </c>
      <c r="L17" s="132">
        <v>1</v>
      </c>
      <c r="M17" s="132">
        <v>1</v>
      </c>
      <c r="N17" s="132">
        <v>1</v>
      </c>
      <c r="Q17" s="132">
        <f t="shared" si="0"/>
        <v>7</v>
      </c>
    </row>
    <row r="18" spans="1:17" ht="24.95" customHeight="1" x14ac:dyDescent="0.25">
      <c r="A18" s="59">
        <v>16</v>
      </c>
      <c r="B18" s="59" t="s">
        <v>1409</v>
      </c>
      <c r="C18" s="59">
        <v>916036401</v>
      </c>
      <c r="D18" s="133">
        <v>2648742643130090</v>
      </c>
      <c r="E18" s="59" t="s">
        <v>1328</v>
      </c>
      <c r="F18" s="59" t="s">
        <v>1329</v>
      </c>
      <c r="G18" s="59" t="s">
        <v>1330</v>
      </c>
      <c r="H18" s="132">
        <v>1</v>
      </c>
      <c r="I18" s="132">
        <v>1</v>
      </c>
      <c r="J18" s="132">
        <v>1</v>
      </c>
      <c r="K18" s="132">
        <v>1</v>
      </c>
      <c r="L18" s="132">
        <v>1</v>
      </c>
      <c r="M18" s="132">
        <v>1</v>
      </c>
      <c r="N18" s="132">
        <v>1</v>
      </c>
      <c r="Q18" s="132">
        <f t="shared" si="0"/>
        <v>7</v>
      </c>
    </row>
    <row r="19" spans="1:17" ht="24.95" customHeight="1" x14ac:dyDescent="0.25">
      <c r="A19" s="59">
        <v>17</v>
      </c>
      <c r="B19" s="59" t="s">
        <v>1410</v>
      </c>
      <c r="C19" s="59">
        <v>30116004</v>
      </c>
      <c r="D19" s="133">
        <v>4435738639230050</v>
      </c>
      <c r="E19" s="59" t="s">
        <v>1328</v>
      </c>
      <c r="F19" s="59" t="s">
        <v>1329</v>
      </c>
      <c r="G19" s="59" t="s">
        <v>1330</v>
      </c>
      <c r="H19" s="132">
        <v>1</v>
      </c>
      <c r="I19" s="132">
        <v>1</v>
      </c>
      <c r="J19" s="132">
        <v>1</v>
      </c>
      <c r="K19" s="132">
        <v>1</v>
      </c>
      <c r="L19" s="132">
        <v>1</v>
      </c>
      <c r="M19" s="132">
        <v>1</v>
      </c>
      <c r="Q19" s="132">
        <f t="shared" si="0"/>
        <v>6</v>
      </c>
    </row>
    <row r="20" spans="1:17" ht="24.95" customHeight="1" x14ac:dyDescent="0.25">
      <c r="A20" s="59">
        <v>18</v>
      </c>
      <c r="B20" s="59" t="s">
        <v>1411</v>
      </c>
      <c r="C20" s="59">
        <v>916036801</v>
      </c>
      <c r="D20" s="133">
        <v>2648746647230110</v>
      </c>
      <c r="E20" s="59" t="s">
        <v>1328</v>
      </c>
      <c r="F20" s="59" t="s">
        <v>1329</v>
      </c>
      <c r="G20" s="59" t="s">
        <v>1330</v>
      </c>
      <c r="H20" s="132">
        <v>1</v>
      </c>
      <c r="I20" s="132">
        <v>1</v>
      </c>
      <c r="J20" s="132">
        <v>1</v>
      </c>
      <c r="K20" s="132">
        <v>1</v>
      </c>
      <c r="L20" s="132">
        <v>1</v>
      </c>
      <c r="M20" s="132">
        <v>1</v>
      </c>
      <c r="N20" s="132">
        <v>1</v>
      </c>
      <c r="Q20" s="132">
        <f t="shared" si="0"/>
        <v>7</v>
      </c>
    </row>
    <row r="21" spans="1:17" ht="24.95" customHeight="1" x14ac:dyDescent="0.25">
      <c r="A21" s="59">
        <v>19</v>
      </c>
      <c r="B21" s="59" t="s">
        <v>1412</v>
      </c>
      <c r="C21" s="59">
        <v>919017702</v>
      </c>
      <c r="D21" s="133">
        <v>7451755656130070</v>
      </c>
      <c r="E21" s="59" t="s">
        <v>1331</v>
      </c>
      <c r="F21" s="59" t="s">
        <v>1329</v>
      </c>
      <c r="G21" s="59" t="s">
        <v>1330</v>
      </c>
      <c r="H21" s="132">
        <v>1</v>
      </c>
      <c r="I21" s="132">
        <v>1</v>
      </c>
      <c r="J21" s="132">
        <v>1</v>
      </c>
      <c r="K21" s="132">
        <v>1</v>
      </c>
      <c r="L21" s="132">
        <v>1</v>
      </c>
      <c r="M21" s="132">
        <v>1</v>
      </c>
      <c r="N21" s="132">
        <v>1</v>
      </c>
      <c r="Q21" s="132">
        <f t="shared" si="0"/>
        <v>7</v>
      </c>
    </row>
    <row r="22" spans="1:17" ht="24.95" customHeight="1" x14ac:dyDescent="0.25">
      <c r="A22" s="59">
        <v>20</v>
      </c>
      <c r="B22" s="59" t="s">
        <v>1413</v>
      </c>
      <c r="C22" s="59">
        <v>927046601</v>
      </c>
      <c r="D22" s="133">
        <v>7759744645230070</v>
      </c>
      <c r="E22" s="59" t="s">
        <v>1328</v>
      </c>
      <c r="F22" s="59" t="s">
        <v>1329</v>
      </c>
      <c r="G22" s="59" t="s">
        <v>1330</v>
      </c>
      <c r="H22" s="132">
        <v>1</v>
      </c>
      <c r="I22" s="132">
        <v>1</v>
      </c>
      <c r="J22" s="132">
        <v>1</v>
      </c>
      <c r="K22" s="132">
        <v>1</v>
      </c>
      <c r="L22" s="132">
        <v>1</v>
      </c>
      <c r="Q22" s="132">
        <f t="shared" si="0"/>
        <v>5</v>
      </c>
    </row>
    <row r="23" spans="1:17" ht="24.95" customHeight="1" x14ac:dyDescent="0.25">
      <c r="B23" s="132" t="s">
        <v>1389</v>
      </c>
      <c r="H23" s="132">
        <v>1</v>
      </c>
      <c r="I23" s="132">
        <v>1</v>
      </c>
      <c r="J23" s="132">
        <v>1</v>
      </c>
      <c r="K23" s="132">
        <v>1</v>
      </c>
      <c r="L23" s="132">
        <v>1</v>
      </c>
      <c r="Q23" s="132">
        <f t="shared" si="0"/>
        <v>5</v>
      </c>
    </row>
    <row r="24" spans="1:17" ht="24.95" customHeight="1" x14ac:dyDescent="0.25">
      <c r="A24" s="59"/>
      <c r="B24" s="132" t="s">
        <v>1390</v>
      </c>
      <c r="H24" s="132">
        <v>1</v>
      </c>
      <c r="I24" s="132">
        <v>1</v>
      </c>
      <c r="J24" s="132">
        <v>1</v>
      </c>
      <c r="K24" s="132">
        <v>1</v>
      </c>
      <c r="Q24" s="132">
        <f t="shared" si="0"/>
        <v>4</v>
      </c>
    </row>
    <row r="25" spans="1:17" ht="24.95" customHeight="1" x14ac:dyDescent="0.25">
      <c r="B25" s="132" t="s">
        <v>1391</v>
      </c>
      <c r="H25" s="132">
        <v>1</v>
      </c>
      <c r="I25" s="132">
        <v>1</v>
      </c>
      <c r="J25" s="132">
        <v>1</v>
      </c>
      <c r="K25" s="132">
        <v>1</v>
      </c>
      <c r="L25" s="132">
        <v>1</v>
      </c>
      <c r="Q25" s="132">
        <f t="shared" si="0"/>
        <v>5</v>
      </c>
    </row>
    <row r="26" spans="1:17" ht="24.95" customHeight="1" x14ac:dyDescent="0.25">
      <c r="B26" s="132" t="s">
        <v>1392</v>
      </c>
      <c r="H26" s="132">
        <v>1</v>
      </c>
      <c r="I26" s="132">
        <v>1</v>
      </c>
      <c r="J26" s="132">
        <v>1</v>
      </c>
      <c r="K26" s="132">
        <v>1</v>
      </c>
      <c r="L26" s="132">
        <v>1</v>
      </c>
      <c r="Q26" s="132">
        <f t="shared" si="0"/>
        <v>5</v>
      </c>
    </row>
    <row r="27" spans="1:17" ht="24.95" customHeight="1" x14ac:dyDescent="0.25">
      <c r="B27" s="132" t="s">
        <v>1393</v>
      </c>
      <c r="H27" s="132">
        <v>1</v>
      </c>
      <c r="I27" s="132">
        <v>1</v>
      </c>
      <c r="J27" s="132">
        <v>1</v>
      </c>
      <c r="K27" s="132">
        <v>1</v>
      </c>
      <c r="L27" s="132">
        <v>1</v>
      </c>
      <c r="M27" s="132">
        <v>1</v>
      </c>
      <c r="Q27" s="132">
        <f t="shared" si="0"/>
        <v>6</v>
      </c>
    </row>
    <row r="28" spans="1:17" ht="24.95" customHeight="1" x14ac:dyDescent="0.25">
      <c r="B28" s="132" t="s">
        <v>1394</v>
      </c>
      <c r="H28" s="132">
        <v>1</v>
      </c>
      <c r="I28" s="132">
        <v>1</v>
      </c>
      <c r="J28" s="132">
        <v>1</v>
      </c>
      <c r="K28" s="132">
        <v>1</v>
      </c>
      <c r="L28" s="132">
        <v>1</v>
      </c>
      <c r="Q28" s="132">
        <f t="shared" si="0"/>
        <v>5</v>
      </c>
    </row>
    <row r="29" spans="1:17" ht="24.95" customHeight="1" x14ac:dyDescent="0.25"/>
    <row r="30" spans="1:17" ht="24.95" customHeight="1" x14ac:dyDescent="0.25"/>
    <row r="31" spans="1:17" ht="24.95" customHeight="1" x14ac:dyDescent="0.25"/>
    <row r="32" spans="1:17" ht="24.95" customHeight="1" x14ac:dyDescent="0.25"/>
    <row r="33" ht="24.95" customHeight="1" x14ac:dyDescent="0.25"/>
    <row r="34" ht="24.95" customHeight="1" x14ac:dyDescent="0.25"/>
    <row r="35" ht="24.9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8"/>
  <sheetViews>
    <sheetView workbookViewId="0">
      <selection activeCell="C6" sqref="C6"/>
    </sheetView>
  </sheetViews>
  <sheetFormatPr defaultRowHeight="15" x14ac:dyDescent="0.25"/>
  <cols>
    <col min="2" max="2" width="10.85546875" customWidth="1"/>
    <col min="3" max="3" width="16.140625" customWidth="1"/>
    <col min="4" max="4" width="42.42578125" customWidth="1"/>
    <col min="5" max="5" width="9.7109375" customWidth="1"/>
    <col min="6" max="6" width="46.28515625" customWidth="1"/>
    <col min="7" max="7" width="33.7109375" customWidth="1"/>
  </cols>
  <sheetData>
    <row r="1" spans="1:7" ht="16.5" thickTop="1" x14ac:dyDescent="0.25">
      <c r="A1" s="136" t="s">
        <v>30</v>
      </c>
      <c r="B1" s="137" t="s">
        <v>1342</v>
      </c>
      <c r="C1" s="137" t="s">
        <v>1343</v>
      </c>
      <c r="D1" s="137" t="s">
        <v>31</v>
      </c>
      <c r="E1" s="137" t="s">
        <v>32</v>
      </c>
      <c r="F1" s="153" t="s">
        <v>1344</v>
      </c>
      <c r="G1" s="154"/>
    </row>
    <row r="2" spans="1:7" ht="15.75" thickBot="1" x14ac:dyDescent="0.3">
      <c r="A2" s="138">
        <v>1</v>
      </c>
      <c r="B2" s="139">
        <v>2</v>
      </c>
      <c r="C2" s="139">
        <v>3</v>
      </c>
      <c r="D2" s="139">
        <v>4</v>
      </c>
      <c r="E2" s="139">
        <v>5</v>
      </c>
      <c r="F2" s="155">
        <v>6</v>
      </c>
      <c r="G2" s="156"/>
    </row>
    <row r="3" spans="1:7" ht="15.75" thickTop="1" x14ac:dyDescent="0.25">
      <c r="B3" s="140" t="s">
        <v>1345</v>
      </c>
      <c r="C3" s="141" t="s">
        <v>1245</v>
      </c>
      <c r="D3" s="141" t="s">
        <v>1346</v>
      </c>
      <c r="E3" s="53">
        <v>2</v>
      </c>
    </row>
    <row r="4" spans="1:7" x14ac:dyDescent="0.25">
      <c r="B4" s="140" t="s">
        <v>1345</v>
      </c>
      <c r="C4" s="141" t="s">
        <v>1247</v>
      </c>
      <c r="D4" s="141" t="s">
        <v>1347</v>
      </c>
      <c r="E4" s="53">
        <v>2</v>
      </c>
    </row>
    <row r="5" spans="1:7" x14ac:dyDescent="0.25">
      <c r="B5" s="140" t="s">
        <v>1345</v>
      </c>
      <c r="C5" s="141" t="s">
        <v>1436</v>
      </c>
      <c r="D5" s="141" t="s">
        <v>1414</v>
      </c>
      <c r="E5" s="53">
        <v>2</v>
      </c>
    </row>
    <row r="6" spans="1:7" x14ac:dyDescent="0.25">
      <c r="B6" s="140" t="s">
        <v>1345</v>
      </c>
      <c r="C6" s="141" t="s">
        <v>1437</v>
      </c>
      <c r="D6" s="141" t="s">
        <v>1180</v>
      </c>
      <c r="E6" s="53">
        <v>2</v>
      </c>
    </row>
    <row r="7" spans="1:7" x14ac:dyDescent="0.25">
      <c r="B7" s="140" t="s">
        <v>1345</v>
      </c>
      <c r="C7" s="141" t="s">
        <v>1246</v>
      </c>
      <c r="D7" s="141" t="s">
        <v>1348</v>
      </c>
      <c r="E7" s="53">
        <v>2</v>
      </c>
    </row>
    <row r="8" spans="1:7" x14ac:dyDescent="0.25">
      <c r="B8" s="140" t="s">
        <v>1345</v>
      </c>
      <c r="C8" s="141" t="s">
        <v>1226</v>
      </c>
      <c r="D8" s="141" t="s">
        <v>49</v>
      </c>
      <c r="E8" s="53">
        <v>3</v>
      </c>
      <c r="F8" s="143" t="s">
        <v>1349</v>
      </c>
    </row>
    <row r="9" spans="1:7" ht="15.75" x14ac:dyDescent="0.25">
      <c r="B9" s="140" t="s">
        <v>1345</v>
      </c>
      <c r="C9" s="141" t="s">
        <v>1228</v>
      </c>
      <c r="D9" s="141" t="s">
        <v>1350</v>
      </c>
      <c r="E9" s="53">
        <v>3</v>
      </c>
      <c r="F9" t="s">
        <v>1351</v>
      </c>
      <c r="G9" s="59" t="s">
        <v>1397</v>
      </c>
    </row>
    <row r="10" spans="1:7" x14ac:dyDescent="0.25">
      <c r="B10" s="140" t="s">
        <v>1345</v>
      </c>
      <c r="C10" s="141" t="s">
        <v>1227</v>
      </c>
      <c r="D10" s="141" t="s">
        <v>1352</v>
      </c>
      <c r="E10" s="53">
        <v>2</v>
      </c>
      <c r="F10" t="s">
        <v>1427</v>
      </c>
      <c r="G10" s="143"/>
    </row>
    <row r="11" spans="1:7" x14ac:dyDescent="0.25">
      <c r="B11" s="140" t="s">
        <v>1345</v>
      </c>
      <c r="C11" s="141" t="s">
        <v>1229</v>
      </c>
      <c r="D11" s="141" t="s">
        <v>1354</v>
      </c>
      <c r="E11" s="53">
        <v>2</v>
      </c>
      <c r="F11" s="143" t="s">
        <v>1355</v>
      </c>
      <c r="G11" t="s">
        <v>1394</v>
      </c>
    </row>
    <row r="12" spans="1:7" x14ac:dyDescent="0.25">
      <c r="B12" s="142"/>
      <c r="D12" s="141"/>
      <c r="E12" s="53"/>
      <c r="F12" s="143"/>
      <c r="G12" s="143"/>
    </row>
    <row r="13" spans="1:7" x14ac:dyDescent="0.25">
      <c r="B13" s="142" t="s">
        <v>1359</v>
      </c>
      <c r="C13" s="141" t="s">
        <v>1252</v>
      </c>
      <c r="D13" s="141" t="s">
        <v>1360</v>
      </c>
      <c r="E13" s="53">
        <v>2</v>
      </c>
    </row>
    <row r="14" spans="1:7" x14ac:dyDescent="0.25">
      <c r="B14" s="142" t="s">
        <v>1361</v>
      </c>
      <c r="C14" s="141" t="s">
        <v>1252</v>
      </c>
      <c r="D14" s="141" t="s">
        <v>1360</v>
      </c>
      <c r="E14" s="53">
        <v>2</v>
      </c>
      <c r="G14" t="s">
        <v>1439</v>
      </c>
    </row>
    <row r="15" spans="1:7" x14ac:dyDescent="0.25">
      <c r="B15" s="142" t="s">
        <v>1359</v>
      </c>
      <c r="C15" s="141" t="s">
        <v>1289</v>
      </c>
      <c r="D15" s="141" t="s">
        <v>1415</v>
      </c>
      <c r="E15" s="53">
        <v>3</v>
      </c>
      <c r="F15" s="143" t="s">
        <v>1351</v>
      </c>
      <c r="G15" s="143" t="s">
        <v>1362</v>
      </c>
    </row>
    <row r="16" spans="1:7" x14ac:dyDescent="0.25">
      <c r="B16" s="142" t="s">
        <v>1361</v>
      </c>
      <c r="C16" s="141" t="s">
        <v>1289</v>
      </c>
      <c r="D16" s="141" t="s">
        <v>1415</v>
      </c>
      <c r="E16" s="53">
        <v>3</v>
      </c>
      <c r="F16" s="143" t="s">
        <v>1362</v>
      </c>
      <c r="G16" s="143" t="s">
        <v>1351</v>
      </c>
    </row>
    <row r="17" spans="2:8" x14ac:dyDescent="0.25">
      <c r="B17" s="142" t="s">
        <v>1359</v>
      </c>
      <c r="C17" s="141" t="s">
        <v>1287</v>
      </c>
      <c r="D17" s="141" t="s">
        <v>1322</v>
      </c>
      <c r="E17" s="53">
        <v>2</v>
      </c>
      <c r="F17" s="143" t="s">
        <v>1363</v>
      </c>
      <c r="G17" s="146"/>
    </row>
    <row r="18" spans="2:8" x14ac:dyDescent="0.25">
      <c r="B18" s="142" t="s">
        <v>1361</v>
      </c>
      <c r="C18" s="141" t="s">
        <v>1287</v>
      </c>
      <c r="D18" s="141" t="s">
        <v>1322</v>
      </c>
      <c r="E18" s="53">
        <v>2</v>
      </c>
      <c r="F18" t="s">
        <v>1422</v>
      </c>
      <c r="G18" t="s">
        <v>1369</v>
      </c>
    </row>
    <row r="19" spans="2:8" x14ac:dyDescent="0.25">
      <c r="B19" s="142" t="s">
        <v>1359</v>
      </c>
      <c r="C19" s="141" t="s">
        <v>1288</v>
      </c>
      <c r="D19" s="141" t="s">
        <v>1323</v>
      </c>
      <c r="E19" s="53">
        <v>2</v>
      </c>
      <c r="F19" s="143" t="s">
        <v>1370</v>
      </c>
      <c r="G19" s="143" t="s">
        <v>1358</v>
      </c>
    </row>
    <row r="20" spans="2:8" x14ac:dyDescent="0.25">
      <c r="B20" s="142" t="s">
        <v>1361</v>
      </c>
      <c r="C20" s="141" t="s">
        <v>1288</v>
      </c>
      <c r="D20" s="141" t="s">
        <v>1323</v>
      </c>
      <c r="E20" s="53">
        <v>2</v>
      </c>
      <c r="F20" s="143" t="s">
        <v>1358</v>
      </c>
      <c r="G20" s="143" t="s">
        <v>1357</v>
      </c>
    </row>
    <row r="21" spans="2:8" x14ac:dyDescent="0.25">
      <c r="B21" s="142" t="s">
        <v>1359</v>
      </c>
      <c r="C21" s="141" t="s">
        <v>1241</v>
      </c>
      <c r="D21" s="141" t="s">
        <v>1302</v>
      </c>
      <c r="E21" s="53">
        <v>2</v>
      </c>
      <c r="F21" s="143" t="s">
        <v>1367</v>
      </c>
      <c r="G21" s="143" t="s">
        <v>1353</v>
      </c>
    </row>
    <row r="22" spans="2:8" x14ac:dyDescent="0.25">
      <c r="B22" s="142" t="s">
        <v>1361</v>
      </c>
      <c r="C22" s="141" t="s">
        <v>1241</v>
      </c>
      <c r="D22" s="141" t="s">
        <v>1302</v>
      </c>
      <c r="E22" s="53">
        <v>2</v>
      </c>
      <c r="F22" s="143" t="s">
        <v>1370</v>
      </c>
      <c r="G22" s="143" t="s">
        <v>1369</v>
      </c>
      <c r="H22" s="143"/>
    </row>
    <row r="23" spans="2:8" x14ac:dyDescent="0.25">
      <c r="B23" s="142" t="s">
        <v>1359</v>
      </c>
      <c r="C23" s="141" t="s">
        <v>1237</v>
      </c>
      <c r="D23" s="141" t="s">
        <v>65</v>
      </c>
      <c r="E23" s="53">
        <v>2</v>
      </c>
      <c r="F23" t="s">
        <v>1371</v>
      </c>
      <c r="G23" t="s">
        <v>1351</v>
      </c>
    </row>
    <row r="24" spans="2:8" x14ac:dyDescent="0.25">
      <c r="B24" s="142" t="s">
        <v>1361</v>
      </c>
      <c r="C24" s="141" t="s">
        <v>1237</v>
      </c>
      <c r="D24" s="141" t="s">
        <v>65</v>
      </c>
      <c r="E24" s="53">
        <v>2</v>
      </c>
      <c r="F24" t="s">
        <v>1372</v>
      </c>
      <c r="G24" t="s">
        <v>1373</v>
      </c>
    </row>
    <row r="25" spans="2:8" x14ac:dyDescent="0.25">
      <c r="B25" s="142" t="s">
        <v>1359</v>
      </c>
      <c r="C25" s="141" t="s">
        <v>1243</v>
      </c>
      <c r="D25" s="141" t="s">
        <v>1324</v>
      </c>
      <c r="E25" s="53">
        <v>2</v>
      </c>
      <c r="F25" t="s">
        <v>1384</v>
      </c>
      <c r="G25" t="s">
        <v>1422</v>
      </c>
    </row>
    <row r="26" spans="2:8" x14ac:dyDescent="0.25">
      <c r="B26" s="142" t="s">
        <v>1361</v>
      </c>
      <c r="C26" s="141" t="s">
        <v>1243</v>
      </c>
      <c r="D26" s="141" t="s">
        <v>1324</v>
      </c>
      <c r="E26" s="53">
        <v>2</v>
      </c>
      <c r="F26" t="s">
        <v>1422</v>
      </c>
      <c r="G26" t="s">
        <v>1368</v>
      </c>
    </row>
    <row r="27" spans="2:8" x14ac:dyDescent="0.25">
      <c r="B27" s="142" t="s">
        <v>1359</v>
      </c>
      <c r="C27" s="141" t="s">
        <v>1242</v>
      </c>
      <c r="D27" s="141" t="s">
        <v>1374</v>
      </c>
      <c r="E27" s="53">
        <v>2</v>
      </c>
      <c r="F27" s="143" t="s">
        <v>1365</v>
      </c>
      <c r="G27" s="143" t="s">
        <v>1423</v>
      </c>
    </row>
    <row r="28" spans="2:8" x14ac:dyDescent="0.25">
      <c r="B28" s="142" t="s">
        <v>1361</v>
      </c>
      <c r="C28" s="141" t="s">
        <v>1242</v>
      </c>
      <c r="D28" s="141" t="s">
        <v>1374</v>
      </c>
      <c r="E28" s="53">
        <v>2</v>
      </c>
      <c r="F28" s="143" t="s">
        <v>1365</v>
      </c>
      <c r="G28" s="143" t="s">
        <v>1423</v>
      </c>
    </row>
    <row r="29" spans="2:8" x14ac:dyDescent="0.25">
      <c r="B29" s="142" t="s">
        <v>1359</v>
      </c>
      <c r="C29" s="141" t="s">
        <v>1239</v>
      </c>
      <c r="D29" s="145" t="s">
        <v>58</v>
      </c>
      <c r="E29" s="53">
        <v>2</v>
      </c>
      <c r="F29" t="s">
        <v>1369</v>
      </c>
      <c r="G29" t="s">
        <v>1351</v>
      </c>
    </row>
    <row r="30" spans="2:8" x14ac:dyDescent="0.25">
      <c r="B30" s="142" t="s">
        <v>1361</v>
      </c>
      <c r="C30" s="141" t="s">
        <v>1239</v>
      </c>
      <c r="D30" s="141" t="s">
        <v>58</v>
      </c>
      <c r="E30" s="53">
        <v>2</v>
      </c>
      <c r="F30" s="143" t="s">
        <v>1370</v>
      </c>
      <c r="G30" t="s">
        <v>1369</v>
      </c>
    </row>
    <row r="31" spans="2:8" x14ac:dyDescent="0.25">
      <c r="B31" s="142" t="s">
        <v>1359</v>
      </c>
      <c r="C31" s="141" t="s">
        <v>1238</v>
      </c>
      <c r="D31" s="141" t="s">
        <v>68</v>
      </c>
      <c r="E31" s="53">
        <v>2</v>
      </c>
      <c r="F31" t="s">
        <v>1366</v>
      </c>
      <c r="G31" t="s">
        <v>1423</v>
      </c>
    </row>
    <row r="32" spans="2:8" x14ac:dyDescent="0.25">
      <c r="B32" s="142" t="s">
        <v>1361</v>
      </c>
      <c r="C32" s="141" t="s">
        <v>1238</v>
      </c>
      <c r="D32" s="141" t="s">
        <v>68</v>
      </c>
      <c r="E32" s="53">
        <v>2</v>
      </c>
      <c r="F32" t="s">
        <v>1357</v>
      </c>
      <c r="G32" t="s">
        <v>1423</v>
      </c>
    </row>
    <row r="33" spans="2:7" x14ac:dyDescent="0.25">
      <c r="B33" s="142" t="s">
        <v>1359</v>
      </c>
      <c r="C33" s="141" t="s">
        <v>1240</v>
      </c>
      <c r="D33" s="141" t="s">
        <v>1298</v>
      </c>
      <c r="E33" s="53">
        <v>2</v>
      </c>
      <c r="F33" t="s">
        <v>1383</v>
      </c>
      <c r="G33" t="s">
        <v>1440</v>
      </c>
    </row>
    <row r="34" spans="2:7" x14ac:dyDescent="0.25">
      <c r="B34" s="142" t="s">
        <v>1361</v>
      </c>
      <c r="C34" s="141" t="s">
        <v>1240</v>
      </c>
      <c r="D34" s="141" t="s">
        <v>1298</v>
      </c>
      <c r="E34" s="53">
        <v>2</v>
      </c>
      <c r="F34" t="s">
        <v>1424</v>
      </c>
      <c r="G34" t="s">
        <v>1383</v>
      </c>
    </row>
    <row r="35" spans="2:7" x14ac:dyDescent="0.25">
      <c r="B35" s="144"/>
      <c r="E35" s="53"/>
    </row>
    <row r="36" spans="2:7" x14ac:dyDescent="0.25">
      <c r="B36" s="142" t="s">
        <v>1376</v>
      </c>
      <c r="C36" s="141" t="s">
        <v>1270</v>
      </c>
      <c r="D36" s="141" t="s">
        <v>1313</v>
      </c>
      <c r="E36" s="53">
        <v>2</v>
      </c>
      <c r="F36" s="143" t="s">
        <v>1379</v>
      </c>
      <c r="G36" t="s">
        <v>1380</v>
      </c>
    </row>
    <row r="37" spans="2:7" x14ac:dyDescent="0.25">
      <c r="B37" s="142" t="s">
        <v>1377</v>
      </c>
      <c r="C37" s="141" t="s">
        <v>1270</v>
      </c>
      <c r="D37" s="141" t="s">
        <v>1313</v>
      </c>
      <c r="E37" s="53">
        <v>2</v>
      </c>
      <c r="F37" t="s">
        <v>1380</v>
      </c>
      <c r="G37" s="143" t="s">
        <v>1379</v>
      </c>
    </row>
    <row r="38" spans="2:7" x14ac:dyDescent="0.25">
      <c r="B38" s="142" t="s">
        <v>1378</v>
      </c>
      <c r="C38" s="141" t="s">
        <v>1270</v>
      </c>
      <c r="D38" s="141" t="s">
        <v>1313</v>
      </c>
      <c r="E38" s="53">
        <v>2</v>
      </c>
      <c r="F38" s="143" t="s">
        <v>1370</v>
      </c>
    </row>
    <row r="39" spans="2:7" x14ac:dyDescent="0.25">
      <c r="B39" s="142" t="s">
        <v>1376</v>
      </c>
      <c r="C39" s="141" t="s">
        <v>1267</v>
      </c>
      <c r="D39" s="141" t="s">
        <v>1381</v>
      </c>
      <c r="E39" s="53">
        <v>2</v>
      </c>
      <c r="F39" t="s">
        <v>1365</v>
      </c>
      <c r="G39" t="s">
        <v>1375</v>
      </c>
    </row>
    <row r="40" spans="2:7" x14ac:dyDescent="0.25">
      <c r="B40" s="142" t="s">
        <v>1377</v>
      </c>
      <c r="C40" s="141" t="s">
        <v>1267</v>
      </c>
      <c r="D40" s="141" t="s">
        <v>1381</v>
      </c>
      <c r="E40" s="53">
        <v>2</v>
      </c>
      <c r="F40" t="s">
        <v>1365</v>
      </c>
      <c r="G40" t="s">
        <v>1375</v>
      </c>
    </row>
    <row r="41" spans="2:7" x14ac:dyDescent="0.25">
      <c r="B41" s="142" t="s">
        <v>1378</v>
      </c>
      <c r="C41" s="141" t="s">
        <v>1267</v>
      </c>
      <c r="D41" s="141" t="s">
        <v>1381</v>
      </c>
      <c r="E41" s="53">
        <v>2</v>
      </c>
      <c r="F41" t="s">
        <v>1365</v>
      </c>
      <c r="G41" t="s">
        <v>1375</v>
      </c>
    </row>
    <row r="42" spans="2:7" x14ac:dyDescent="0.25">
      <c r="B42" s="142" t="s">
        <v>1376</v>
      </c>
      <c r="C42" s="141" t="s">
        <v>1263</v>
      </c>
      <c r="D42" s="141" t="s">
        <v>1308</v>
      </c>
      <c r="E42" s="53">
        <v>2</v>
      </c>
      <c r="F42" t="s">
        <v>1367</v>
      </c>
      <c r="G42" t="s">
        <v>1368</v>
      </c>
    </row>
    <row r="43" spans="2:7" x14ac:dyDescent="0.25">
      <c r="B43" s="142" t="s">
        <v>1377</v>
      </c>
      <c r="C43" s="141" t="s">
        <v>1263</v>
      </c>
      <c r="D43" s="141" t="s">
        <v>1308</v>
      </c>
      <c r="E43" s="53">
        <v>2</v>
      </c>
      <c r="F43" t="s">
        <v>1367</v>
      </c>
      <c r="G43" t="s">
        <v>1356</v>
      </c>
    </row>
    <row r="44" spans="2:7" x14ac:dyDescent="0.25">
      <c r="B44" s="142" t="s">
        <v>1378</v>
      </c>
      <c r="C44" s="141" t="s">
        <v>1263</v>
      </c>
      <c r="D44" s="141" t="s">
        <v>1308</v>
      </c>
      <c r="E44" s="53">
        <v>2</v>
      </c>
      <c r="F44" t="s">
        <v>1356</v>
      </c>
    </row>
    <row r="45" spans="2:7" x14ac:dyDescent="0.25">
      <c r="B45" s="142" t="s">
        <v>1376</v>
      </c>
      <c r="C45" s="141" t="s">
        <v>1266</v>
      </c>
      <c r="D45" s="141" t="s">
        <v>1309</v>
      </c>
      <c r="E45" s="53">
        <v>2</v>
      </c>
      <c r="F45" t="s">
        <v>1383</v>
      </c>
      <c r="G45" t="s">
        <v>1375</v>
      </c>
    </row>
    <row r="46" spans="2:7" x14ac:dyDescent="0.25">
      <c r="B46" s="142" t="s">
        <v>1377</v>
      </c>
      <c r="C46" s="141" t="s">
        <v>1266</v>
      </c>
      <c r="D46" s="141" t="s">
        <v>1309</v>
      </c>
      <c r="E46" s="53">
        <v>2</v>
      </c>
      <c r="F46" t="s">
        <v>1379</v>
      </c>
      <c r="G46" t="s">
        <v>1380</v>
      </c>
    </row>
    <row r="47" spans="2:7" x14ac:dyDescent="0.25">
      <c r="B47" s="142" t="s">
        <v>1378</v>
      </c>
      <c r="C47" s="141" t="s">
        <v>1266</v>
      </c>
      <c r="D47" s="141" t="s">
        <v>1309</v>
      </c>
      <c r="E47" s="53">
        <v>2</v>
      </c>
      <c r="F47" t="s">
        <v>1380</v>
      </c>
      <c r="G47" t="s">
        <v>1357</v>
      </c>
    </row>
    <row r="48" spans="2:7" x14ac:dyDescent="0.25">
      <c r="B48" s="142" t="s">
        <v>1376</v>
      </c>
      <c r="C48" s="141" t="s">
        <v>1268</v>
      </c>
      <c r="D48" s="141" t="s">
        <v>1311</v>
      </c>
      <c r="E48" s="53">
        <v>2</v>
      </c>
      <c r="F48" t="s">
        <v>1382</v>
      </c>
    </row>
    <row r="49" spans="2:7" x14ac:dyDescent="0.25">
      <c r="B49" s="142" t="s">
        <v>1377</v>
      </c>
      <c r="C49" s="141" t="s">
        <v>1268</v>
      </c>
      <c r="D49" s="141" t="s">
        <v>1311</v>
      </c>
      <c r="E49" s="53">
        <v>2</v>
      </c>
      <c r="F49" t="s">
        <v>1384</v>
      </c>
      <c r="G49" t="s">
        <v>1364</v>
      </c>
    </row>
    <row r="50" spans="2:7" x14ac:dyDescent="0.25">
      <c r="B50" s="142" t="s">
        <v>1378</v>
      </c>
      <c r="C50" s="141" t="s">
        <v>1268</v>
      </c>
      <c r="D50" s="141" t="s">
        <v>1311</v>
      </c>
      <c r="E50" s="53">
        <v>2</v>
      </c>
      <c r="F50" t="s">
        <v>1384</v>
      </c>
    </row>
    <row r="51" spans="2:7" x14ac:dyDescent="0.25">
      <c r="B51" s="142" t="s">
        <v>1376</v>
      </c>
      <c r="C51" s="141" t="s">
        <v>1272</v>
      </c>
      <c r="D51" s="141" t="s">
        <v>1314</v>
      </c>
      <c r="E51" s="53">
        <v>2</v>
      </c>
      <c r="F51" t="s">
        <v>1385</v>
      </c>
      <c r="G51" t="s">
        <v>1368</v>
      </c>
    </row>
    <row r="52" spans="2:7" x14ac:dyDescent="0.25">
      <c r="B52" s="142" t="s">
        <v>1377</v>
      </c>
      <c r="C52" s="141" t="s">
        <v>1272</v>
      </c>
      <c r="D52" s="141" t="s">
        <v>1314</v>
      </c>
      <c r="E52" s="53">
        <v>2</v>
      </c>
      <c r="F52" t="s">
        <v>1385</v>
      </c>
      <c r="G52" t="s">
        <v>1426</v>
      </c>
    </row>
    <row r="53" spans="2:7" x14ac:dyDescent="0.25">
      <c r="B53" s="142" t="s">
        <v>1378</v>
      </c>
      <c r="C53" s="141" t="s">
        <v>1272</v>
      </c>
      <c r="D53" s="141" t="s">
        <v>1314</v>
      </c>
      <c r="E53" s="53">
        <v>2</v>
      </c>
      <c r="F53" t="s">
        <v>1385</v>
      </c>
      <c r="G53" t="s">
        <v>1368</v>
      </c>
    </row>
    <row r="54" spans="2:7" x14ac:dyDescent="0.25">
      <c r="B54" s="142" t="s">
        <v>1376</v>
      </c>
      <c r="C54" s="141" t="s">
        <v>1269</v>
      </c>
      <c r="D54" s="141" t="s">
        <v>1312</v>
      </c>
      <c r="E54" s="53">
        <v>2</v>
      </c>
      <c r="F54" t="s">
        <v>1373</v>
      </c>
      <c r="G54" t="s">
        <v>1386</v>
      </c>
    </row>
    <row r="55" spans="2:7" x14ac:dyDescent="0.25">
      <c r="B55" s="142" t="s">
        <v>1377</v>
      </c>
      <c r="C55" s="141" t="s">
        <v>1269</v>
      </c>
      <c r="D55" s="141" t="s">
        <v>1312</v>
      </c>
      <c r="E55" s="53">
        <v>2</v>
      </c>
      <c r="F55" t="s">
        <v>1426</v>
      </c>
      <c r="G55" t="s">
        <v>1373</v>
      </c>
    </row>
    <row r="56" spans="2:7" x14ac:dyDescent="0.25">
      <c r="B56" s="142" t="s">
        <v>1378</v>
      </c>
      <c r="C56" s="141" t="s">
        <v>1269</v>
      </c>
      <c r="D56" s="141" t="s">
        <v>1312</v>
      </c>
      <c r="E56" s="53">
        <v>2</v>
      </c>
      <c r="F56" t="s">
        <v>1426</v>
      </c>
      <c r="G56" t="s">
        <v>1373</v>
      </c>
    </row>
    <row r="57" spans="2:7" x14ac:dyDescent="0.25">
      <c r="B57" s="142" t="s">
        <v>1376</v>
      </c>
      <c r="C57" s="141" t="s">
        <v>1265</v>
      </c>
      <c r="D57" s="141" t="s">
        <v>1136</v>
      </c>
      <c r="E57" s="53">
        <v>2</v>
      </c>
      <c r="F57" s="143" t="s">
        <v>1387</v>
      </c>
      <c r="G57" s="143"/>
    </row>
    <row r="58" spans="2:7" x14ac:dyDescent="0.25">
      <c r="B58" s="142" t="s">
        <v>1377</v>
      </c>
      <c r="C58" s="141" t="s">
        <v>1265</v>
      </c>
      <c r="D58" s="141" t="s">
        <v>1136</v>
      </c>
      <c r="E58" s="53">
        <v>2</v>
      </c>
      <c r="F58" s="143" t="s">
        <v>1387</v>
      </c>
      <c r="G58" t="s">
        <v>1375</v>
      </c>
    </row>
    <row r="59" spans="2:7" x14ac:dyDescent="0.25">
      <c r="B59" s="142" t="s">
        <v>1378</v>
      </c>
      <c r="C59" s="141" t="s">
        <v>1265</v>
      </c>
      <c r="D59" s="141" t="s">
        <v>1136</v>
      </c>
      <c r="E59" s="53">
        <v>2</v>
      </c>
      <c r="F59" s="143" t="s">
        <v>1387</v>
      </c>
      <c r="G59" t="s">
        <v>1375</v>
      </c>
    </row>
    <row r="60" spans="2:7" x14ac:dyDescent="0.25">
      <c r="B60" s="142" t="s">
        <v>1376</v>
      </c>
      <c r="C60" s="141" t="s">
        <v>1264</v>
      </c>
      <c r="D60" s="141" t="s">
        <v>1137</v>
      </c>
      <c r="E60" s="53">
        <v>2</v>
      </c>
      <c r="F60" t="s">
        <v>1388</v>
      </c>
      <c r="G60" t="s">
        <v>1358</v>
      </c>
    </row>
    <row r="61" spans="2:7" x14ac:dyDescent="0.25">
      <c r="B61" s="142" t="s">
        <v>1377</v>
      </c>
      <c r="C61" s="141" t="s">
        <v>1264</v>
      </c>
      <c r="D61" s="141" t="s">
        <v>1137</v>
      </c>
      <c r="E61" s="53">
        <v>2</v>
      </c>
      <c r="F61" t="s">
        <v>1388</v>
      </c>
      <c r="G61" t="s">
        <v>1358</v>
      </c>
    </row>
    <row r="62" spans="2:7" x14ac:dyDescent="0.25">
      <c r="B62" s="142" t="s">
        <v>1378</v>
      </c>
      <c r="C62" s="141" t="s">
        <v>1264</v>
      </c>
      <c r="D62" s="141" t="s">
        <v>1137</v>
      </c>
      <c r="E62" s="53">
        <v>2</v>
      </c>
      <c r="F62" t="s">
        <v>1358</v>
      </c>
      <c r="G62" t="s">
        <v>1388</v>
      </c>
    </row>
    <row r="63" spans="2:7" x14ac:dyDescent="0.25">
      <c r="B63" s="142" t="s">
        <v>1376</v>
      </c>
      <c r="C63" s="141" t="s">
        <v>1290</v>
      </c>
      <c r="D63" s="145" t="s">
        <v>1327</v>
      </c>
      <c r="E63" s="53">
        <v>2</v>
      </c>
      <c r="F63" t="s">
        <v>1379</v>
      </c>
    </row>
    <row r="64" spans="2:7" x14ac:dyDescent="0.25">
      <c r="B64" s="142" t="s">
        <v>1377</v>
      </c>
      <c r="C64" s="141" t="s">
        <v>1290</v>
      </c>
      <c r="D64" s="141" t="s">
        <v>1327</v>
      </c>
      <c r="E64" s="53">
        <v>2</v>
      </c>
      <c r="F64" t="s">
        <v>1384</v>
      </c>
    </row>
    <row r="65" spans="2:7" x14ac:dyDescent="0.25">
      <c r="B65" s="142" t="s">
        <v>1378</v>
      </c>
      <c r="C65" s="141" t="s">
        <v>1290</v>
      </c>
      <c r="D65" s="141" t="s">
        <v>1327</v>
      </c>
      <c r="E65" s="53">
        <v>2</v>
      </c>
      <c r="F65" t="s">
        <v>1384</v>
      </c>
      <c r="G65" s="143" t="s">
        <v>1370</v>
      </c>
    </row>
    <row r="66" spans="2:7" x14ac:dyDescent="0.25">
      <c r="B66" s="142" t="s">
        <v>1376</v>
      </c>
      <c r="C66" s="141" t="s">
        <v>1271</v>
      </c>
      <c r="D66" s="141" t="s">
        <v>1417</v>
      </c>
      <c r="E66" s="53">
        <v>2</v>
      </c>
      <c r="F66" s="143" t="s">
        <v>1389</v>
      </c>
      <c r="G66" s="143" t="s">
        <v>1362</v>
      </c>
    </row>
    <row r="67" spans="2:7" x14ac:dyDescent="0.25">
      <c r="B67" s="142" t="s">
        <v>1377</v>
      </c>
      <c r="C67" s="141" t="s">
        <v>1271</v>
      </c>
      <c r="D67" s="141" t="s">
        <v>1417</v>
      </c>
      <c r="E67" s="53">
        <v>2</v>
      </c>
      <c r="F67" s="143" t="s">
        <v>1362</v>
      </c>
      <c r="G67" t="s">
        <v>1386</v>
      </c>
    </row>
    <row r="68" spans="2:7" x14ac:dyDescent="0.25">
      <c r="B68" s="142" t="s">
        <v>1378</v>
      </c>
      <c r="C68" s="141" t="s">
        <v>1271</v>
      </c>
      <c r="D68" s="141" t="s">
        <v>1417</v>
      </c>
      <c r="E68" s="53">
        <v>2</v>
      </c>
      <c r="F68" s="143" t="s">
        <v>1389</v>
      </c>
      <c r="G68" s="143" t="s">
        <v>1362</v>
      </c>
    </row>
    <row r="69" spans="2:7" x14ac:dyDescent="0.25">
      <c r="B69" s="142" t="s">
        <v>1376</v>
      </c>
      <c r="C69" s="141" t="s">
        <v>1273</v>
      </c>
      <c r="D69" s="141" t="s">
        <v>1305</v>
      </c>
      <c r="E69" s="53">
        <v>2</v>
      </c>
      <c r="F69" s="143" t="s">
        <v>1389</v>
      </c>
      <c r="G69" t="s">
        <v>1427</v>
      </c>
    </row>
    <row r="70" spans="2:7" x14ac:dyDescent="0.25">
      <c r="B70" s="142" t="s">
        <v>1377</v>
      </c>
      <c r="C70" s="141" t="s">
        <v>1273</v>
      </c>
      <c r="D70" s="141" t="s">
        <v>1305</v>
      </c>
      <c r="E70" s="53">
        <v>2</v>
      </c>
      <c r="F70" s="143" t="s">
        <v>1389</v>
      </c>
      <c r="G70" t="s">
        <v>1427</v>
      </c>
    </row>
    <row r="71" spans="2:7" x14ac:dyDescent="0.25">
      <c r="B71" s="142" t="s">
        <v>1378</v>
      </c>
      <c r="C71" s="141" t="s">
        <v>1273</v>
      </c>
      <c r="D71" s="141" t="s">
        <v>1305</v>
      </c>
      <c r="E71" s="53">
        <v>2</v>
      </c>
      <c r="F71" s="143" t="s">
        <v>1389</v>
      </c>
      <c r="G71" t="s">
        <v>1427</v>
      </c>
    </row>
    <row r="72" spans="2:7" x14ac:dyDescent="0.25">
      <c r="B72" s="142" t="s">
        <v>1376</v>
      </c>
      <c r="C72" s="141" t="s">
        <v>1416</v>
      </c>
      <c r="D72" s="141" t="s">
        <v>1418</v>
      </c>
      <c r="E72" s="53">
        <v>0</v>
      </c>
      <c r="F72" s="143"/>
    </row>
    <row r="73" spans="2:7" x14ac:dyDescent="0.25">
      <c r="B73" s="142" t="s">
        <v>1377</v>
      </c>
      <c r="C73" s="141" t="s">
        <v>1416</v>
      </c>
      <c r="D73" s="141" t="s">
        <v>1418</v>
      </c>
      <c r="E73" s="53">
        <v>0</v>
      </c>
      <c r="F73" s="143"/>
    </row>
    <row r="74" spans="2:7" x14ac:dyDescent="0.25">
      <c r="B74" s="142" t="s">
        <v>1378</v>
      </c>
      <c r="C74" s="141" t="s">
        <v>1416</v>
      </c>
      <c r="D74" s="141" t="s">
        <v>1418</v>
      </c>
      <c r="E74" s="53">
        <v>0</v>
      </c>
      <c r="F74" s="143"/>
    </row>
    <row r="75" spans="2:7" x14ac:dyDescent="0.25">
      <c r="B75" s="144"/>
      <c r="E75" s="53"/>
    </row>
    <row r="76" spans="2:7" x14ac:dyDescent="0.25">
      <c r="B76" s="144" t="s">
        <v>1421</v>
      </c>
      <c r="C76" s="141" t="s">
        <v>1291</v>
      </c>
      <c r="D76" s="141" t="s">
        <v>1419</v>
      </c>
      <c r="E76" s="53">
        <v>4</v>
      </c>
    </row>
    <row r="77" spans="2:7" x14ac:dyDescent="0.25">
      <c r="B77" s="144" t="s">
        <v>1421</v>
      </c>
      <c r="C77" s="141" t="s">
        <v>1286</v>
      </c>
      <c r="D77" s="141" t="s">
        <v>1420</v>
      </c>
      <c r="E77" s="53">
        <v>4</v>
      </c>
    </row>
    <row r="78" spans="2:7" x14ac:dyDescent="0.25">
      <c r="B78" s="144" t="s">
        <v>1421</v>
      </c>
      <c r="C78" s="141" t="s">
        <v>1293</v>
      </c>
      <c r="D78" s="141" t="s">
        <v>1292</v>
      </c>
      <c r="E78" s="53">
        <v>2</v>
      </c>
    </row>
  </sheetData>
  <mergeCells count="2">
    <mergeCell ref="F1:G1"/>
    <mergeCell ref="F2:G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00D9-55FE-41B9-BB6B-4FDC2DFDA8FC}">
  <dimension ref="A1:G41"/>
  <sheetViews>
    <sheetView tabSelected="1" topLeftCell="A19" workbookViewId="0">
      <selection activeCell="C6" sqref="C6"/>
    </sheetView>
  </sheetViews>
  <sheetFormatPr defaultRowHeight="15" x14ac:dyDescent="0.25"/>
  <cols>
    <col min="2" max="2" width="10.85546875" customWidth="1"/>
    <col min="3" max="3" width="16.140625" customWidth="1"/>
    <col min="4" max="4" width="42.42578125" customWidth="1"/>
    <col min="5" max="5" width="9.7109375" customWidth="1"/>
    <col min="6" max="6" width="46.28515625" customWidth="1"/>
    <col min="7" max="7" width="33.7109375" customWidth="1"/>
  </cols>
  <sheetData>
    <row r="1" spans="1:7" ht="16.5" thickTop="1" x14ac:dyDescent="0.25">
      <c r="A1" s="136" t="s">
        <v>30</v>
      </c>
      <c r="B1" s="137" t="s">
        <v>1342</v>
      </c>
      <c r="C1" s="137" t="s">
        <v>1343</v>
      </c>
      <c r="D1" s="137" t="s">
        <v>31</v>
      </c>
      <c r="E1" s="137" t="s">
        <v>32</v>
      </c>
      <c r="F1" s="153" t="s">
        <v>1344</v>
      </c>
      <c r="G1" s="154"/>
    </row>
    <row r="2" spans="1:7" ht="15.75" thickBot="1" x14ac:dyDescent="0.3">
      <c r="A2" s="138">
        <v>1</v>
      </c>
      <c r="B2" s="139">
        <v>2</v>
      </c>
      <c r="C2" s="139">
        <v>3</v>
      </c>
      <c r="D2" s="139">
        <v>4</v>
      </c>
      <c r="E2" s="139">
        <v>5</v>
      </c>
      <c r="F2" s="155">
        <v>6</v>
      </c>
      <c r="G2" s="156"/>
    </row>
    <row r="3" spans="1:7" ht="15.75" thickTop="1" x14ac:dyDescent="0.25">
      <c r="B3" s="140" t="s">
        <v>1432</v>
      </c>
      <c r="C3" s="141" t="s">
        <v>1245</v>
      </c>
      <c r="D3" s="141" t="s">
        <v>1346</v>
      </c>
      <c r="E3" s="53">
        <v>2</v>
      </c>
    </row>
    <row r="4" spans="1:7" x14ac:dyDescent="0.25">
      <c r="B4" s="140" t="s">
        <v>1432</v>
      </c>
      <c r="C4" s="141" t="s">
        <v>1247</v>
      </c>
      <c r="D4" s="141" t="s">
        <v>1347</v>
      </c>
      <c r="E4" s="53">
        <v>2</v>
      </c>
    </row>
    <row r="5" spans="1:7" x14ac:dyDescent="0.25">
      <c r="B5" s="140" t="s">
        <v>1432</v>
      </c>
      <c r="C5" s="141" t="s">
        <v>1436</v>
      </c>
      <c r="D5" s="141" t="s">
        <v>1414</v>
      </c>
      <c r="E5" s="53">
        <v>2</v>
      </c>
    </row>
    <row r="6" spans="1:7" x14ac:dyDescent="0.25">
      <c r="B6" s="140" t="s">
        <v>1432</v>
      </c>
      <c r="C6" s="141" t="s">
        <v>1437</v>
      </c>
      <c r="D6" s="141" t="s">
        <v>1180</v>
      </c>
      <c r="E6" s="53">
        <v>2</v>
      </c>
    </row>
    <row r="7" spans="1:7" x14ac:dyDescent="0.25">
      <c r="B7" s="140" t="s">
        <v>1432</v>
      </c>
      <c r="C7" s="141" t="s">
        <v>1246</v>
      </c>
      <c r="D7" s="141" t="s">
        <v>1348</v>
      </c>
      <c r="E7" s="53">
        <v>2</v>
      </c>
      <c r="F7" s="143"/>
    </row>
    <row r="8" spans="1:7" x14ac:dyDescent="0.25">
      <c r="B8" s="140" t="s">
        <v>1432</v>
      </c>
      <c r="C8" s="141" t="s">
        <v>1226</v>
      </c>
      <c r="D8" s="141" t="s">
        <v>49</v>
      </c>
      <c r="E8" s="53">
        <v>3</v>
      </c>
      <c r="F8" s="143" t="s">
        <v>1362</v>
      </c>
      <c r="G8" s="143" t="s">
        <v>1423</v>
      </c>
    </row>
    <row r="9" spans="1:7" ht="15.75" x14ac:dyDescent="0.25">
      <c r="B9" s="140" t="s">
        <v>1432</v>
      </c>
      <c r="C9" s="141" t="s">
        <v>1228</v>
      </c>
      <c r="D9" s="141" t="s">
        <v>1350</v>
      </c>
      <c r="E9" s="53">
        <v>3</v>
      </c>
      <c r="F9" t="s">
        <v>1351</v>
      </c>
      <c r="G9" s="59" t="s">
        <v>1397</v>
      </c>
    </row>
    <row r="10" spans="1:7" x14ac:dyDescent="0.25">
      <c r="B10" s="140" t="s">
        <v>1432</v>
      </c>
      <c r="C10" s="141" t="s">
        <v>1227</v>
      </c>
      <c r="D10" s="141" t="s">
        <v>1352</v>
      </c>
      <c r="E10" s="53">
        <v>2</v>
      </c>
      <c r="F10" s="143" t="s">
        <v>1435</v>
      </c>
      <c r="G10" s="143"/>
    </row>
    <row r="11" spans="1:7" x14ac:dyDescent="0.25">
      <c r="B11" s="140" t="s">
        <v>1432</v>
      </c>
      <c r="C11" s="141" t="s">
        <v>1229</v>
      </c>
      <c r="D11" s="141" t="s">
        <v>1354</v>
      </c>
      <c r="E11" s="53">
        <v>2</v>
      </c>
      <c r="F11" s="143" t="s">
        <v>1367</v>
      </c>
      <c r="G11" t="s">
        <v>1394</v>
      </c>
    </row>
    <row r="12" spans="1:7" x14ac:dyDescent="0.25">
      <c r="B12" s="142"/>
      <c r="D12" s="141"/>
      <c r="E12" s="53"/>
      <c r="F12" s="143"/>
      <c r="G12" s="143"/>
    </row>
    <row r="13" spans="1:7" x14ac:dyDescent="0.25">
      <c r="B13" s="142" t="s">
        <v>1433</v>
      </c>
      <c r="C13" s="141" t="s">
        <v>1252</v>
      </c>
      <c r="D13" s="141" t="s">
        <v>1360</v>
      </c>
      <c r="E13" s="53">
        <v>2</v>
      </c>
    </row>
    <row r="14" spans="1:7" x14ac:dyDescent="0.25">
      <c r="B14" s="142" t="s">
        <v>1433</v>
      </c>
      <c r="C14" s="141" t="s">
        <v>1289</v>
      </c>
      <c r="D14" s="141" t="s">
        <v>1415</v>
      </c>
      <c r="E14" s="53">
        <v>3</v>
      </c>
      <c r="F14" s="143" t="s">
        <v>1362</v>
      </c>
      <c r="G14" t="s">
        <v>1351</v>
      </c>
    </row>
    <row r="15" spans="1:7" x14ac:dyDescent="0.25">
      <c r="B15" s="142" t="s">
        <v>1433</v>
      </c>
      <c r="C15" s="141" t="s">
        <v>1287</v>
      </c>
      <c r="D15" s="141" t="s">
        <v>1322</v>
      </c>
      <c r="E15" s="53">
        <v>2</v>
      </c>
      <c r="F15" s="143" t="s">
        <v>1363</v>
      </c>
      <c r="G15" t="s">
        <v>1385</v>
      </c>
    </row>
    <row r="16" spans="1:7" x14ac:dyDescent="0.25">
      <c r="B16" s="142" t="s">
        <v>1433</v>
      </c>
      <c r="C16" s="141" t="s">
        <v>1288</v>
      </c>
      <c r="D16" s="141" t="s">
        <v>1323</v>
      </c>
      <c r="E16" s="53">
        <v>2</v>
      </c>
      <c r="F16" s="143" t="s">
        <v>1358</v>
      </c>
      <c r="G16" s="143" t="s">
        <v>1370</v>
      </c>
    </row>
    <row r="17" spans="2:7" x14ac:dyDescent="0.25">
      <c r="B17" s="142" t="s">
        <v>1433</v>
      </c>
      <c r="C17" s="141" t="s">
        <v>1241</v>
      </c>
      <c r="D17" s="141" t="s">
        <v>1302</v>
      </c>
      <c r="E17" s="53">
        <v>2</v>
      </c>
      <c r="F17" s="143" t="s">
        <v>1367</v>
      </c>
      <c r="G17" s="143" t="s">
        <v>1353</v>
      </c>
    </row>
    <row r="18" spans="2:7" x14ac:dyDescent="0.25">
      <c r="B18" s="142" t="s">
        <v>1433</v>
      </c>
      <c r="C18" s="141" t="s">
        <v>1237</v>
      </c>
      <c r="D18" s="141" t="s">
        <v>65</v>
      </c>
      <c r="E18" s="53">
        <v>2</v>
      </c>
      <c r="F18" t="s">
        <v>1371</v>
      </c>
      <c r="G18" t="s">
        <v>1426</v>
      </c>
    </row>
    <row r="19" spans="2:7" x14ac:dyDescent="0.25">
      <c r="B19" s="142" t="s">
        <v>1433</v>
      </c>
      <c r="C19" s="141" t="s">
        <v>1243</v>
      </c>
      <c r="D19" s="141" t="s">
        <v>1324</v>
      </c>
      <c r="E19" s="53">
        <v>2</v>
      </c>
      <c r="F19" t="s">
        <v>1384</v>
      </c>
    </row>
    <row r="20" spans="2:7" x14ac:dyDescent="0.25">
      <c r="B20" s="142" t="s">
        <v>1433</v>
      </c>
      <c r="C20" s="141" t="s">
        <v>1242</v>
      </c>
      <c r="D20" s="141" t="s">
        <v>1374</v>
      </c>
      <c r="E20" s="53">
        <v>2</v>
      </c>
      <c r="F20" t="s">
        <v>1357</v>
      </c>
      <c r="G20" s="143" t="s">
        <v>1423</v>
      </c>
    </row>
    <row r="21" spans="2:7" x14ac:dyDescent="0.25">
      <c r="B21" s="142" t="s">
        <v>1433</v>
      </c>
      <c r="C21" s="141" t="s">
        <v>1239</v>
      </c>
      <c r="D21" s="145" t="s">
        <v>58</v>
      </c>
      <c r="E21" s="53">
        <v>2</v>
      </c>
      <c r="F21" t="s">
        <v>1369</v>
      </c>
      <c r="G21" t="s">
        <v>1351</v>
      </c>
    </row>
    <row r="22" spans="2:7" x14ac:dyDescent="0.25">
      <c r="B22" s="142" t="s">
        <v>1433</v>
      </c>
      <c r="C22" s="141" t="s">
        <v>1238</v>
      </c>
      <c r="D22" s="141" t="s">
        <v>68</v>
      </c>
      <c r="E22" s="53">
        <v>2</v>
      </c>
      <c r="F22" t="s">
        <v>1366</v>
      </c>
      <c r="G22" t="s">
        <v>1357</v>
      </c>
    </row>
    <row r="23" spans="2:7" x14ac:dyDescent="0.25">
      <c r="B23" s="142" t="s">
        <v>1433</v>
      </c>
      <c r="C23" s="141" t="s">
        <v>1240</v>
      </c>
      <c r="D23" s="141" t="s">
        <v>1298</v>
      </c>
      <c r="E23" s="53">
        <v>2</v>
      </c>
      <c r="F23" t="s">
        <v>1383</v>
      </c>
      <c r="G23" t="s">
        <v>1440</v>
      </c>
    </row>
    <row r="24" spans="2:7" x14ac:dyDescent="0.25">
      <c r="B24" s="144"/>
      <c r="E24" s="53"/>
    </row>
    <row r="25" spans="2:7" x14ac:dyDescent="0.25">
      <c r="B25" s="142" t="s">
        <v>1434</v>
      </c>
      <c r="C25" s="141" t="s">
        <v>1270</v>
      </c>
      <c r="D25" s="141" t="s">
        <v>1313</v>
      </c>
      <c r="E25" s="53">
        <v>2</v>
      </c>
      <c r="F25" s="143" t="s">
        <v>1379</v>
      </c>
      <c r="G25" t="s">
        <v>1366</v>
      </c>
    </row>
    <row r="26" spans="2:7" x14ac:dyDescent="0.25">
      <c r="B26" s="142" t="s">
        <v>1434</v>
      </c>
      <c r="C26" s="141" t="s">
        <v>1267</v>
      </c>
      <c r="D26" s="141" t="s">
        <v>1381</v>
      </c>
      <c r="E26" s="53">
        <v>2</v>
      </c>
      <c r="F26" t="s">
        <v>1365</v>
      </c>
      <c r="G26" t="s">
        <v>1375</v>
      </c>
    </row>
    <row r="27" spans="2:7" x14ac:dyDescent="0.25">
      <c r="B27" s="142" t="s">
        <v>1434</v>
      </c>
      <c r="C27" s="141" t="s">
        <v>1263</v>
      </c>
      <c r="D27" s="141" t="s">
        <v>1308</v>
      </c>
      <c r="E27" s="53">
        <v>2</v>
      </c>
      <c r="F27" t="s">
        <v>1367</v>
      </c>
      <c r="G27" t="s">
        <v>1394</v>
      </c>
    </row>
    <row r="28" spans="2:7" x14ac:dyDescent="0.25">
      <c r="B28" s="142" t="s">
        <v>1434</v>
      </c>
      <c r="C28" s="141" t="s">
        <v>1266</v>
      </c>
      <c r="D28" s="141" t="s">
        <v>1309</v>
      </c>
      <c r="E28" s="53">
        <v>2</v>
      </c>
      <c r="F28" t="s">
        <v>1383</v>
      </c>
      <c r="G28" s="143" t="s">
        <v>1423</v>
      </c>
    </row>
    <row r="29" spans="2:7" x14ac:dyDescent="0.25">
      <c r="B29" s="142" t="s">
        <v>1434</v>
      </c>
      <c r="C29" s="141" t="s">
        <v>1268</v>
      </c>
      <c r="D29" s="145" t="s">
        <v>1311</v>
      </c>
      <c r="E29" s="53">
        <v>2</v>
      </c>
      <c r="F29" t="s">
        <v>1382</v>
      </c>
    </row>
    <row r="30" spans="2:7" x14ac:dyDescent="0.25">
      <c r="B30" s="142" t="s">
        <v>1434</v>
      </c>
      <c r="C30" s="141" t="s">
        <v>1272</v>
      </c>
      <c r="D30" s="145" t="s">
        <v>1314</v>
      </c>
      <c r="E30" s="53">
        <v>2</v>
      </c>
      <c r="F30" t="s">
        <v>1385</v>
      </c>
      <c r="G30" t="s">
        <v>1426</v>
      </c>
    </row>
    <row r="31" spans="2:7" x14ac:dyDescent="0.25">
      <c r="B31" s="142" t="s">
        <v>1434</v>
      </c>
      <c r="C31" s="141" t="s">
        <v>1269</v>
      </c>
      <c r="D31" s="145" t="s">
        <v>1312</v>
      </c>
      <c r="E31" s="53">
        <v>2</v>
      </c>
      <c r="F31" t="s">
        <v>1426</v>
      </c>
      <c r="G31" t="s">
        <v>1386</v>
      </c>
    </row>
    <row r="32" spans="2:7" x14ac:dyDescent="0.25">
      <c r="B32" s="142" t="s">
        <v>1434</v>
      </c>
      <c r="C32" s="141" t="s">
        <v>1265</v>
      </c>
      <c r="D32" s="145" t="s">
        <v>1136</v>
      </c>
      <c r="E32" s="53">
        <v>2</v>
      </c>
      <c r="F32" s="143" t="s">
        <v>1387</v>
      </c>
    </row>
    <row r="33" spans="2:7" x14ac:dyDescent="0.25">
      <c r="B33" s="142" t="s">
        <v>1434</v>
      </c>
      <c r="C33" s="141" t="s">
        <v>1264</v>
      </c>
      <c r="D33" s="145" t="s">
        <v>1137</v>
      </c>
      <c r="E33" s="53">
        <v>2</v>
      </c>
      <c r="F33" t="s">
        <v>1388</v>
      </c>
      <c r="G33" t="s">
        <v>1358</v>
      </c>
    </row>
    <row r="34" spans="2:7" x14ac:dyDescent="0.25">
      <c r="B34" s="142" t="s">
        <v>1434</v>
      </c>
      <c r="C34" s="141" t="s">
        <v>1290</v>
      </c>
      <c r="D34" s="145" t="s">
        <v>1327</v>
      </c>
      <c r="E34" s="53">
        <v>2</v>
      </c>
      <c r="F34" t="s">
        <v>1379</v>
      </c>
      <c r="G34" t="s">
        <v>1357</v>
      </c>
    </row>
    <row r="35" spans="2:7" x14ac:dyDescent="0.25">
      <c r="B35" s="142" t="s">
        <v>1434</v>
      </c>
      <c r="C35" s="141" t="s">
        <v>1271</v>
      </c>
      <c r="D35" s="141" t="s">
        <v>1417</v>
      </c>
      <c r="E35" s="53">
        <v>2</v>
      </c>
      <c r="F35" t="s">
        <v>1386</v>
      </c>
      <c r="G35" s="143" t="s">
        <v>1362</v>
      </c>
    </row>
    <row r="36" spans="2:7" x14ac:dyDescent="0.25">
      <c r="B36" s="142" t="s">
        <v>1434</v>
      </c>
      <c r="C36" s="141" t="s">
        <v>1273</v>
      </c>
      <c r="D36" s="141" t="s">
        <v>1305</v>
      </c>
      <c r="E36" s="53">
        <v>2</v>
      </c>
      <c r="F36" t="s">
        <v>1427</v>
      </c>
    </row>
    <row r="37" spans="2:7" x14ac:dyDescent="0.25">
      <c r="B37" s="142" t="s">
        <v>1434</v>
      </c>
      <c r="C37" s="141" t="s">
        <v>1416</v>
      </c>
      <c r="D37" s="141" t="s">
        <v>1418</v>
      </c>
      <c r="E37" s="53">
        <v>0</v>
      </c>
      <c r="F37" s="143"/>
    </row>
    <row r="38" spans="2:7" x14ac:dyDescent="0.25">
      <c r="B38" s="144"/>
      <c r="E38" s="53"/>
    </row>
    <row r="39" spans="2:7" x14ac:dyDescent="0.25">
      <c r="B39" s="144" t="s">
        <v>1421</v>
      </c>
      <c r="C39" s="141" t="s">
        <v>1291</v>
      </c>
      <c r="D39" s="141" t="s">
        <v>1419</v>
      </c>
      <c r="E39" s="53">
        <v>4</v>
      </c>
    </row>
    <row r="40" spans="2:7" x14ac:dyDescent="0.25">
      <c r="B40" s="144" t="s">
        <v>1421</v>
      </c>
      <c r="C40" s="141" t="s">
        <v>1286</v>
      </c>
      <c r="D40" s="141" t="s">
        <v>1420</v>
      </c>
      <c r="E40" s="53">
        <v>4</v>
      </c>
    </row>
    <row r="41" spans="2:7" x14ac:dyDescent="0.25">
      <c r="B41" s="144" t="s">
        <v>1421</v>
      </c>
      <c r="C41" s="141" t="s">
        <v>1293</v>
      </c>
      <c r="D41" s="141" t="s">
        <v>1292</v>
      </c>
      <c r="E41" s="53">
        <v>2</v>
      </c>
    </row>
  </sheetData>
  <mergeCells count="2">
    <mergeCell ref="F1:G1"/>
    <mergeCell ref="F2:G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PL</vt:lpstr>
      <vt:lpstr>CPL</vt:lpstr>
      <vt:lpstr>CPMK</vt:lpstr>
      <vt:lpstr>Sheet6</vt:lpstr>
      <vt:lpstr>Mata Kuliah</vt:lpstr>
      <vt:lpstr>Struktur MK</vt:lpstr>
      <vt:lpstr>Dosen</vt:lpstr>
      <vt:lpstr>Jadwal Reguler</vt:lpstr>
      <vt:lpstr>Jadwal Non Reg</vt:lpstr>
      <vt:lpstr>'Struktur MK'!Print_Area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Administrator</cp:lastModifiedBy>
  <cp:lastPrinted>2025-09-01T01:39:05Z</cp:lastPrinted>
  <dcterms:created xsi:type="dcterms:W3CDTF">2025-08-08T03:00:36Z</dcterms:created>
  <dcterms:modified xsi:type="dcterms:W3CDTF">2025-09-15T06:40:15Z</dcterms:modified>
</cp:coreProperties>
</file>